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760fa26feb0b0ff/Documents/BLUE LINE DEVELOPMENTS/Clients/CLIENTS 2026/01_TRAINING/QS Mastery/Floris/"/>
    </mc:Choice>
  </mc:AlternateContent>
  <xr:revisionPtr revIDLastSave="0" documentId="8_{95CAFBA9-CCE1-468C-A7E6-E4D8AD2D3543}" xr6:coauthVersionLast="47" xr6:coauthVersionMax="47" xr10:uidLastSave="{00000000-0000-0000-0000-000000000000}"/>
  <bookViews>
    <workbookView xWindow="-113" yWindow="-113" windowWidth="24267" windowHeight="13023" tabRatio="840" activeTab="6" xr2:uid="{C907827F-7DC6-4CD1-A3E1-C1FF29800BD4}"/>
  </bookViews>
  <sheets>
    <sheet name="Client Information" sheetId="1" r:id="rId1"/>
    <sheet name="Raw Import" sheetId="22" r:id="rId2"/>
    <sheet name="BoQ Codes" sheetId="23" r:id="rId3"/>
    <sheet name="Find Value" sheetId="26" r:id="rId4"/>
    <sheet name="SHEET 9" sheetId="28" r:id="rId5"/>
    <sheet name="SHEET 10" sheetId="29" r:id="rId6"/>
    <sheet name="User Interface" sheetId="21" r:id="rId7"/>
    <sheet name="Final BoQ" sheetId="27" r:id="rId8"/>
  </sheets>
  <definedNames>
    <definedName name="_xleta.COUNT" hidden="1" xlm="1">#NAME?</definedName>
    <definedName name="ClientPanelData" localSheetId="2">'BoQ Codes'!#REF!</definedName>
    <definedName name="ClientPanelData" localSheetId="7">'Final BoQ'!$D$2:$D$10</definedName>
    <definedName name="ClientPanelData" localSheetId="3">'Find Value'!$B$2:$B$10</definedName>
    <definedName name="ClientPanelData" localSheetId="1">'Raw Import'!#REF!</definedName>
    <definedName name="ClientPanelData" localSheetId="5">'SHEET 10'!$B$2:$B$10</definedName>
    <definedName name="ClientPanelData" localSheetId="4">'SHEET 9'!$B$2:$B$10</definedName>
    <definedName name="ClientPanelData" localSheetId="6">'User Interface'!$B$2:$B$10</definedName>
    <definedName name="ClientPanelData">'Client Information'!$B$2:$B$10</definedName>
    <definedName name="ExternalData_1" localSheetId="1">'Raw Import'!$A$1:$J$7</definedName>
    <definedName name="ExternalData_10" localSheetId="1">'Raw Import'!$A$1:$K$17</definedName>
    <definedName name="ExternalData_100" localSheetId="1">'Raw Import'!$A$1:$H$25</definedName>
    <definedName name="ExternalData_101" localSheetId="1">'Raw Import'!$A$27:$G$129</definedName>
    <definedName name="ExternalData_102" localSheetId="1">'Raw Import'!$A$1:$H$25</definedName>
    <definedName name="ExternalData_103" localSheetId="1">'Raw Import'!$A$27:$G$129</definedName>
    <definedName name="ExternalData_104" localSheetId="1">'Raw Import'!$A$1:$H$25</definedName>
    <definedName name="ExternalData_105" localSheetId="1">'Raw Import'!$A$27:$G$129</definedName>
    <definedName name="ExternalData_106" localSheetId="1">'Raw Import'!$A$1:$H$25</definedName>
    <definedName name="ExternalData_107" localSheetId="1">'Raw Import'!$A$1:$H$24</definedName>
    <definedName name="ExternalData_108" localSheetId="1">'Raw Import'!$A$1:$H$24</definedName>
    <definedName name="ExternalData_109" localSheetId="1">'Raw Import'!$A$26:$G$128</definedName>
    <definedName name="ExternalData_11" localSheetId="1">'Raw Import'!$A$1:$G$105</definedName>
    <definedName name="ExternalData_110" localSheetId="1">'Raw Import'!$A$128:$I$133</definedName>
    <definedName name="ExternalData_111" localSheetId="1">'Raw Import'!$A$137:$E$151</definedName>
    <definedName name="ExternalData_112" localSheetId="1">'Raw Import'!$A$149:$J$172</definedName>
    <definedName name="ExternalData_113" localSheetId="1">'Raw Import'!$A$177:$F$187</definedName>
    <definedName name="ExternalData_114" localSheetId="1">'Raw Import'!$A$191:$D$221</definedName>
    <definedName name="ExternalData_115" localSheetId="1">'Raw Import'!$A$217:$G$226</definedName>
    <definedName name="ExternalData_116" localSheetId="1">'Raw Import'!$A$224:$P$232</definedName>
    <definedName name="ExternalData_117" localSheetId="1">'Raw Import'!$A$249:$D$257</definedName>
    <definedName name="ExternalData_118" localSheetId="1">'Raw Import'!$A$1:$H$24</definedName>
    <definedName name="ExternalData_119" localSheetId="1">'Raw Import'!$A$26:$G$128</definedName>
    <definedName name="ExternalData_12" localSheetId="1">'Raw Import'!$A$1:$G$105</definedName>
    <definedName name="ExternalData_120" localSheetId="1">'Raw Import'!$A$128:$I$133</definedName>
    <definedName name="ExternalData_121" localSheetId="1">'Raw Import'!$A$137:$E$151</definedName>
    <definedName name="ExternalData_122" localSheetId="1">'Raw Import'!$A$152:$F$161</definedName>
    <definedName name="ExternalData_123" localSheetId="1">'Raw Import'!$A$164:$D$193</definedName>
    <definedName name="ExternalData_124" localSheetId="1">'Raw Import'!$A$192:$G$200</definedName>
    <definedName name="ExternalData_125" localSheetId="1">'Raw Import'!$A$199:$P$207</definedName>
    <definedName name="ExternalData_126" localSheetId="1">'Raw Import'!$A$1:$H$24</definedName>
    <definedName name="ExternalData_127" localSheetId="1">'Raw Import'!$A$26:$G$128</definedName>
    <definedName name="ExternalData_128" localSheetId="1">'Raw Import'!$A$128:$I$133</definedName>
    <definedName name="ExternalData_129" localSheetId="1">'Raw Import'!$A$137:$E$151</definedName>
    <definedName name="ExternalData_13" localSheetId="1">'Raw Import'!$A$1:$G$105</definedName>
    <definedName name="ExternalData_130" localSheetId="1">'Raw Import'!$A$149:$J$172</definedName>
    <definedName name="ExternalData_131" localSheetId="1">'Raw Import'!$A$177:$F$187</definedName>
    <definedName name="ExternalData_132" localSheetId="1">'Raw Import'!$A$190:$D$218</definedName>
    <definedName name="ExternalData_133" localSheetId="1">'Raw Import'!$A$217:$G$226</definedName>
    <definedName name="ExternalData_134" localSheetId="1">'Raw Import'!$A$224:$P$232</definedName>
    <definedName name="ExternalData_135" localSheetId="1">'Raw Import'!$A$243:$D$252</definedName>
    <definedName name="ExternalData_136" localSheetId="1">'Raw Import'!$A$1:$H$24</definedName>
    <definedName name="ExternalData_137" localSheetId="1">'Raw Import'!$A$26:$G$128</definedName>
    <definedName name="ExternalData_138" localSheetId="1">'Raw Import'!$A$130:$I$135</definedName>
    <definedName name="ExternalData_139" localSheetId="1">'Raw Import'!$A$137:$E$151</definedName>
    <definedName name="ExternalData_14" localSheetId="1">'Raw Import'!$A$1:$G$105</definedName>
    <definedName name="ExternalData_140" localSheetId="1">'Raw Import'!$A$153:$J$176</definedName>
    <definedName name="ExternalData_141" localSheetId="1">'Raw Import'!$A$180:$F$190</definedName>
    <definedName name="ExternalData_142" localSheetId="1">'Raw Import'!$A$192:$D$219</definedName>
    <definedName name="ExternalData_143" localSheetId="1">'Raw Import'!$A$221:$G$230</definedName>
    <definedName name="ExternalData_144" localSheetId="1">'Raw Import'!$A$232:$P$240</definedName>
    <definedName name="ExternalData_145" localSheetId="1">'Raw Import'!$A$243:$D$251</definedName>
    <definedName name="ExternalData_146" localSheetId="1">'Raw Import'!$A$1:$H$23</definedName>
    <definedName name="ExternalData_147" localSheetId="1">'Raw Import'!$A$25:$G$126</definedName>
    <definedName name="ExternalData_148" localSheetId="1">'Raw Import'!$A$128:$I$132</definedName>
    <definedName name="ExternalData_149" localSheetId="1">'Raw Import'!$A$134:$E$147</definedName>
    <definedName name="ExternalData_15" localSheetId="1">'Raw Import'!$A$1:$G$105</definedName>
    <definedName name="ExternalData_150" localSheetId="1">'Raw Import'!$A$149:$J$172</definedName>
    <definedName name="ExternalData_151" localSheetId="1">'Raw Import'!$A$174:$F$183</definedName>
    <definedName name="ExternalData_152" localSheetId="1">'Raw Import'!$A$185:$D$211</definedName>
    <definedName name="ExternalData_153" localSheetId="1">'Raw Import'!$A$213:$G$221</definedName>
    <definedName name="ExternalData_154" localSheetId="1">'Raw Import'!$A$223:$P$231</definedName>
    <definedName name="ExternalData_155" localSheetId="1">'Raw Import'!$A$233:$D$240</definedName>
    <definedName name="ExternalData_156" localSheetId="1">'Raw Import'!$A$1:$P$9</definedName>
    <definedName name="ExternalData_157" localSheetId="1">'Raw Import'!$A$1:$H$23</definedName>
    <definedName name="ExternalData_158" localSheetId="1">'Raw Import'!$A$25:$G$126</definedName>
    <definedName name="ExternalData_159" localSheetId="1">'Raw Import'!$A$128:$I$132</definedName>
    <definedName name="ExternalData_16" localSheetId="1">'Raw Import'!$A$1:$G$105</definedName>
    <definedName name="ExternalData_160" localSheetId="1">'Raw Import'!$A$1:$G$102</definedName>
    <definedName name="ExternalData_161" localSheetId="1">'Raw Import'!$A$104:$H$126</definedName>
    <definedName name="ExternalData_162" localSheetId="1">'Raw Import'!$A$128:$I$132</definedName>
    <definedName name="ExternalData_163" localSheetId="1">'Raw Import'!$A$134:$E$147</definedName>
    <definedName name="ExternalData_164" localSheetId="1">'Raw Import'!$A$1:$D$8</definedName>
    <definedName name="ExternalData_165" localSheetId="1">'Raw Import'!$A$10:$G$18</definedName>
    <definedName name="ExternalData_166" localSheetId="1">'Raw Import'!$A$1:$G$9</definedName>
    <definedName name="ExternalData_167" localSheetId="1">'Raw Import'!$A$11:$F$20</definedName>
    <definedName name="ExternalData_168" localSheetId="1">'Raw Import'!$A$22:$G$123</definedName>
    <definedName name="ExternalData_169" localSheetId="1">'Raw Import'!$A$1:$G$9</definedName>
    <definedName name="ExternalData_17" localSheetId="1">'Raw Import'!$A$1:$G$105</definedName>
    <definedName name="ExternalData_170" localSheetId="1">'Raw Import'!$A$11:$F$20</definedName>
    <definedName name="ExternalData_171" localSheetId="1">'Raw Import'!$A$22:$G$123</definedName>
    <definedName name="ExternalData_172" localSheetId="1">'Raw Import'!$A$1:$G$9</definedName>
    <definedName name="ExternalData_173" localSheetId="1">'Raw Import'!$A$11:$F$20</definedName>
    <definedName name="ExternalData_174" localSheetId="1">'Raw Import'!$A$22:$G$123</definedName>
    <definedName name="ExternalData_175" localSheetId="1">'Raw Import'!$A$1:$G$9</definedName>
    <definedName name="ExternalData_176" localSheetId="1">'Raw Import'!$A$518:$F$527</definedName>
    <definedName name="ExternalData_177" localSheetId="1">'Raw Import'!$A$529:$G$630</definedName>
    <definedName name="ExternalData_178" localSheetId="1">'Raw Import'!$A$1:$G$9</definedName>
    <definedName name="ExternalData_179" localSheetId="1">'Raw Import'!$A$518:$F$527</definedName>
    <definedName name="ExternalData_18" localSheetId="1">'Raw Import'!$A$1:$G$105</definedName>
    <definedName name="ExternalData_180" localSheetId="1">'Raw Import'!$A$529:$G$630</definedName>
    <definedName name="ExternalData_181" localSheetId="1">'Raw Import'!$A$1:$G$102</definedName>
    <definedName name="ExternalData_182" localSheetId="1">'Raw Import'!$A$104:$G$112</definedName>
    <definedName name="ExternalData_183" localSheetId="1">'Raw Import'!$A$114:$F$123</definedName>
    <definedName name="ExternalData_184" localSheetId="1">'Raw Import'!$A$1:$G$102</definedName>
    <definedName name="ExternalData_185" localSheetId="1">'Raw Import'!$A$1:$G$102</definedName>
    <definedName name="ExternalData_186" localSheetId="1">'Raw Import'!$A$104:$G$112</definedName>
    <definedName name="ExternalData_187" localSheetId="1">'Raw Import'!$A$114:$F$123</definedName>
    <definedName name="ExternalData_188" localSheetId="1">'Raw Import'!$A$1:$G$102</definedName>
    <definedName name="ExternalData_189" localSheetId="1">'Raw Import'!$A$104:$F$113</definedName>
    <definedName name="ExternalData_19" localSheetId="1">'Raw Import'!$A$1:$G$105</definedName>
    <definedName name="ExternalData_190" localSheetId="1">'Raw Import'!$A$115:$G$123</definedName>
    <definedName name="ExternalData_191" localSheetId="1">'Raw Import'!$A$1:$G$9</definedName>
    <definedName name="ExternalData_192" localSheetId="1">'Raw Import'!$A$11:$F$20</definedName>
    <definedName name="ExternalData_193" localSheetId="1">'Raw Import'!$A$22:$G$123</definedName>
    <definedName name="ExternalData_194" localSheetId="1">'Raw Import'!$A$1:$G$9</definedName>
    <definedName name="ExternalData_195" localSheetId="1">'Raw Import'!$A$11:$F$20</definedName>
    <definedName name="ExternalData_196" localSheetId="1">'Raw Import'!$A$22:$G$123</definedName>
    <definedName name="ExternalData_197" localSheetId="1">'Raw Import'!$A$1:$G$9</definedName>
    <definedName name="ExternalData_198" localSheetId="1">'Raw Import'!$A$11:$F$20</definedName>
    <definedName name="ExternalData_199" localSheetId="1">'Raw Import'!$A$22:$G$123</definedName>
    <definedName name="ExternalData_2" localSheetId="1">'Raw Import'!$A$1:$J$7</definedName>
    <definedName name="ExternalData_20" localSheetId="1">'Raw Import'!$A$1:$H$25</definedName>
    <definedName name="ExternalData_21" localSheetId="1">'Raw Import'!$A$1:$G$105</definedName>
    <definedName name="ExternalData_22" localSheetId="1">'Raw Import'!$A$1:$G$105</definedName>
    <definedName name="ExternalData_23" localSheetId="1">'Raw Import'!$A$1:$H$25</definedName>
    <definedName name="ExternalData_24" localSheetId="1">'Raw Import'!$A$1:$G$105</definedName>
    <definedName name="ExternalData_25" localSheetId="1">'Raw Import'!$A$1:$G$105</definedName>
    <definedName name="ExternalData_26" localSheetId="1">'Raw Import'!$A$1:$G$105</definedName>
    <definedName name="ExternalData_27" localSheetId="1">'Raw Import'!$A$1:$G$105</definedName>
    <definedName name="ExternalData_28" localSheetId="1">'Raw Import'!$A$1:$J$24</definedName>
    <definedName name="ExternalData_29" localSheetId="1">'Raw Import'!$A$1:$H$25</definedName>
    <definedName name="ExternalData_3" localSheetId="1">'Raw Import'!$A$1:$J$7</definedName>
    <definedName name="ExternalData_30" localSheetId="1">'Raw Import'!$A$1:$H$25</definedName>
    <definedName name="ExternalData_31" localSheetId="1">'Raw Import'!$A$1:$P$9</definedName>
    <definedName name="ExternalData_32" localSheetId="1">'Raw Import'!$A$1:$P$9</definedName>
    <definedName name="ExternalData_33" localSheetId="1">'Raw Import'!$A$1:$G$11</definedName>
    <definedName name="ExternalData_34" localSheetId="1">'Raw Import'!$A$1:$J$24</definedName>
    <definedName name="ExternalData_35" localSheetId="1">'Raw Import'!$A$1:$D$10</definedName>
    <definedName name="ExternalData_36" localSheetId="1">'Raw Import'!$A$1:$G$11</definedName>
    <definedName name="ExternalData_37" localSheetId="1">'Raw Import'!$A$1:$G$11</definedName>
    <definedName name="ExternalData_38" localSheetId="1">'Raw Import'!$A$1:$G$11</definedName>
    <definedName name="ExternalData_39" localSheetId="1">'Raw Import'!$A$1:$F$12</definedName>
    <definedName name="ExternalData_4" localSheetId="1">'Raw Import'!$A$1:$J$7</definedName>
    <definedName name="ExternalData_40" localSheetId="1">'Raw Import'!$A$1:$G$11</definedName>
    <definedName name="ExternalData_41" localSheetId="1">'Raw Import'!$A$1:$I$5</definedName>
    <definedName name="ExternalData_42" localSheetId="1">'Raw Import'!$A$1:$G$11</definedName>
    <definedName name="ExternalData_43" localSheetId="1">'Raw Import'!$A$1:$G$105</definedName>
    <definedName name="ExternalData_44" localSheetId="1">'Raw Import'!$A$1:$I$5</definedName>
    <definedName name="ExternalData_45" localSheetId="1">'Raw Import'!$A$1:$I$5</definedName>
    <definedName name="ExternalData_46" localSheetId="1">'Raw Import'!$A$1:$G$105</definedName>
    <definedName name="ExternalData_47" localSheetId="1">'Raw Import'!$A$1:$I$5</definedName>
    <definedName name="ExternalData_48" localSheetId="1">'Raw Import'!$A$1:$I$5</definedName>
    <definedName name="ExternalData_49" localSheetId="1">'Raw Import'!$A$1:$I$5</definedName>
    <definedName name="ExternalData_5" localSheetId="1">'Raw Import'!$A$1:$J$7</definedName>
    <definedName name="ExternalData_50" localSheetId="1">'Raw Import'!$A$1:$G$11</definedName>
    <definedName name="ExternalData_51" localSheetId="1">'Raw Import'!$A$1:$I$5</definedName>
    <definedName name="ExternalData_52" localSheetId="1">'Raw Import'!$A$1:$E$16</definedName>
    <definedName name="ExternalData_53" localSheetId="1">'Raw Import'!$A$1:$G$105</definedName>
    <definedName name="ExternalData_54" localSheetId="1">'Raw Import'!$A$1:$I$5</definedName>
    <definedName name="ExternalData_55" localSheetId="1">'Raw Import'!$A$1:$F$12</definedName>
    <definedName name="ExternalData_56" localSheetId="1">'Raw Import'!$A$1:$E$16</definedName>
    <definedName name="ExternalData_57" localSheetId="1">'Raw Import'!$A$1:$G$11</definedName>
    <definedName name="ExternalData_58" localSheetId="1">'Raw Import'!$A$1:$I$5</definedName>
    <definedName name="ExternalData_59" localSheetId="1">'Raw Import'!$A$1:$G$11</definedName>
    <definedName name="ExternalData_6" localSheetId="1">'Raw Import'!$A$1:$J$7</definedName>
    <definedName name="ExternalData_60" localSheetId="1">'Raw Import'!$A$1:$D$10</definedName>
    <definedName name="ExternalData_61" localSheetId="1">'Raw Import'!$A$1:$G$105</definedName>
    <definedName name="ExternalData_62" localSheetId="1">'Raw Import'!$A$1:$D$10</definedName>
    <definedName name="ExternalData_63" localSheetId="1">'Raw Import'!$A$1:$P$9</definedName>
    <definedName name="ExternalData_64" localSheetId="1">'Raw Import'!$A$1:$D$10</definedName>
    <definedName name="ExternalData_65" localSheetId="1">'Raw Import'!$A$1:$P$9</definedName>
    <definedName name="ExternalData_66" localSheetId="1">'Raw Import'!$A$1:$D$30</definedName>
    <definedName name="ExternalData_67" localSheetId="1">'Raw Import'!$A$1:$F$12</definedName>
    <definedName name="ExternalData_68" localSheetId="1">'Raw Import'!$A$1:$D$10</definedName>
    <definedName name="ExternalData_69" localSheetId="1">'Raw Import'!$A$1:$D$30</definedName>
    <definedName name="ExternalData_7" localSheetId="1">'Raw Import'!$A$1:$J$7</definedName>
    <definedName name="ExternalData_70" localSheetId="1">'Raw Import'!$A$1:$F$12</definedName>
    <definedName name="ExternalData_71" localSheetId="1">'Raw Import'!$A$1:$J$24</definedName>
    <definedName name="ExternalData_72" localSheetId="1">'Raw Import'!$A$1:$E$16</definedName>
    <definedName name="ExternalData_73" localSheetId="1">'Raw Import'!$A$1:$I$5</definedName>
    <definedName name="ExternalData_74" localSheetId="1">'Raw Import'!$A$1:$I$5</definedName>
    <definedName name="ExternalData_75" localSheetId="1">'Raw Import'!$A$1:$H$25</definedName>
    <definedName name="ExternalData_76" localSheetId="1">'Raw Import'!$A$1:$P$9</definedName>
    <definedName name="ExternalData_77" localSheetId="1">'Raw Import'!$A$1:$H$25</definedName>
    <definedName name="ExternalData_78" localSheetId="1">'Raw Import'!$A$1:$P$9</definedName>
    <definedName name="ExternalData_79" localSheetId="1">'Raw Import'!$A$1:$H$25</definedName>
    <definedName name="ExternalData_8" localSheetId="1">'Raw Import'!$A$1:$K$17</definedName>
    <definedName name="ExternalData_80" localSheetId="1">'Raw Import'!$A$1:$G$105</definedName>
    <definedName name="ExternalData_81" localSheetId="1">'Raw Import'!$A$1:$I$5</definedName>
    <definedName name="ExternalData_82" localSheetId="1">'Raw Import'!$A$1:$G$105</definedName>
    <definedName name="ExternalData_83" localSheetId="1">'Raw Import'!$A$1:$I$5</definedName>
    <definedName name="ExternalData_84" localSheetId="1">'Raw Import'!$A$1:$E$16</definedName>
    <definedName name="ExternalData_85" localSheetId="1">'Raw Import'!$A$2203:$H$2225</definedName>
    <definedName name="ExternalData_86" localSheetId="1">'Raw Import'!$A$2229:$G$2330</definedName>
    <definedName name="ExternalData_87" localSheetId="1">'Raw Import'!$A$1:$I$5</definedName>
    <definedName name="ExternalData_88" localSheetId="1">'Raw Import'!$A$9:$E$22</definedName>
    <definedName name="ExternalData_89" localSheetId="1">'Raw Import'!$A$1:$I$5</definedName>
    <definedName name="ExternalData_9" localSheetId="1">'Raw Import'!$A$1:$K$17</definedName>
    <definedName name="ExternalData_90" localSheetId="1">'Raw Import'!$A$9:$E$22</definedName>
    <definedName name="ExternalData_91" localSheetId="1">'Raw Import'!$A$24:$G$126</definedName>
    <definedName name="ExternalData_92" localSheetId="1">'Raw Import'!$A$1:$P$9</definedName>
    <definedName name="ExternalData_93" localSheetId="1">'Raw Import'!$A$13:$G$21</definedName>
    <definedName name="ExternalData_94" localSheetId="1">'Raw Import'!$A$23:$D$50</definedName>
    <definedName name="ExternalData_95" localSheetId="1">'Raw Import'!$A$52:$F$61</definedName>
    <definedName name="ExternalData_96" localSheetId="1">'Raw Import'!$A$63:$E$76</definedName>
    <definedName name="ExternalData_97" localSheetId="1">'Raw Import'!$A$75:$I$79</definedName>
    <definedName name="ExternalData_98" localSheetId="1">'Raw Import'!$A$84:$G$186</definedName>
    <definedName name="ExternalData_99" localSheetId="1">'Raw Import'!$A$187:$H$209</definedName>
    <definedName name="_xlnm.Print_Area" localSheetId="2">'BoQ Codes'!#REF!</definedName>
    <definedName name="_xlnm.Print_Area" localSheetId="7">'Final BoQ'!$C$1:$C$10</definedName>
    <definedName name="_xlnm.Print_Area" localSheetId="3">'Find Value'!$A$1:$A$10</definedName>
    <definedName name="_xlnm.Print_Area" localSheetId="1">'Raw Import'!#REF!</definedName>
    <definedName name="_xlnm.Print_Area" localSheetId="5">'SHEET 10'!$A$1:$A$10</definedName>
    <definedName name="_xlnm.Print_Area" localSheetId="4">'SHEET 9'!$A$1:$A$10</definedName>
    <definedName name="_xlnm.Print_Area" localSheetId="6">'User Interface'!$A$1:$A$10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35" i="27" l="1"/>
  <c r="L423" i="27"/>
  <c r="L398" i="27"/>
  <c r="L387" i="27"/>
  <c r="L380" i="27"/>
  <c r="L361" i="27"/>
  <c r="L291" i="27" l="1"/>
  <c r="L289" i="27"/>
  <c r="L264" i="27"/>
  <c r="L255" i="27"/>
  <c r="L245" i="27"/>
  <c r="L239" i="27"/>
  <c r="L237" i="27"/>
  <c r="L220" i="27"/>
  <c r="L218" i="27"/>
  <c r="L205" i="27"/>
  <c r="L203" i="27"/>
  <c r="L196" i="27"/>
  <c r="L182" i="27"/>
  <c r="L87" i="27"/>
  <c r="L81" i="27"/>
  <c r="L134" i="27"/>
  <c r="L153" i="27"/>
  <c r="L165" i="27"/>
  <c r="F767" i="27"/>
  <c r="F761" i="27"/>
  <c r="F783" i="27" l="1"/>
  <c r="F809" i="27"/>
  <c r="F744" i="27"/>
  <c r="L744" i="27" s="1"/>
  <c r="L855" i="27" s="1"/>
  <c r="L857" i="27" s="1"/>
  <c r="L859" i="27" s="1"/>
  <c r="B2" i="26" l="1"/>
  <c r="B3" i="26"/>
  <c r="B4" i="26"/>
  <c r="B5" i="26"/>
  <c r="B6" i="26"/>
  <c r="B7" i="26"/>
  <c r="B8" i="26"/>
  <c r="B9" i="26"/>
  <c r="B10" i="26"/>
  <c r="B3" i="21" l="1"/>
  <c r="B4" i="21"/>
  <c r="B10" i="29"/>
  <c r="B9" i="29"/>
  <c r="B8" i="29"/>
  <c r="B7" i="29"/>
  <c r="B6" i="29"/>
  <c r="B5" i="29"/>
  <c r="B4" i="29"/>
  <c r="B3" i="29"/>
  <c r="B2" i="29"/>
  <c r="B10" i="28"/>
  <c r="B9" i="28"/>
  <c r="B8" i="28"/>
  <c r="B7" i="28"/>
  <c r="B6" i="28"/>
  <c r="B5" i="28"/>
  <c r="B4" i="28"/>
  <c r="B3" i="28"/>
  <c r="B2" i="28"/>
  <c r="D10" i="27"/>
  <c r="D9" i="27"/>
  <c r="D8" i="27"/>
  <c r="D7" i="27"/>
  <c r="D6" i="27"/>
  <c r="D5" i="27"/>
  <c r="D4" i="27"/>
  <c r="D3" i="27"/>
  <c r="D2" i="27"/>
  <c r="B5" i="21"/>
  <c r="B6" i="21"/>
  <c r="B7" i="21"/>
  <c r="B8" i="21"/>
  <c r="B9" i="21"/>
  <c r="B10" i="21"/>
  <c r="B2" i="21"/>
</calcChain>
</file>

<file path=xl/sharedStrings.xml><?xml version="1.0" encoding="utf-8"?>
<sst xmlns="http://schemas.openxmlformats.org/spreadsheetml/2006/main" count="1594" uniqueCount="699">
  <si>
    <t>Company</t>
  </si>
  <si>
    <t>Full name</t>
  </si>
  <si>
    <t>ID registration</t>
  </si>
  <si>
    <t>Email</t>
  </si>
  <si>
    <t>Phone</t>
  </si>
  <si>
    <t>Project</t>
  </si>
  <si>
    <t>Address</t>
  </si>
  <si>
    <t>Prepared by</t>
  </si>
  <si>
    <t>Date</t>
  </si>
  <si>
    <t>Description</t>
  </si>
  <si>
    <t>TSP_CON052</t>
  </si>
  <si>
    <t>Concrete, formwork + reinfmnt</t>
  </si>
  <si>
    <t>Retaining walls in foundations (Provisional)</t>
  </si>
  <si>
    <t>m3</t>
  </si>
  <si>
    <t>TSP_EW132</t>
  </si>
  <si>
    <t>Earthworks</t>
  </si>
  <si>
    <t>Under floors etc, including forming and poisoning shallow furrows against foundation walls etc, filling in furrows and ramming</t>
  </si>
  <si>
    <t>m2</t>
  </si>
  <si>
    <t>TSP_MAS007</t>
  </si>
  <si>
    <t>Alterations</t>
  </si>
  <si>
    <t>Mass brickwork</t>
  </si>
  <si>
    <t>TSP_MAS008</t>
  </si>
  <si>
    <t>Half brick walls</t>
  </si>
  <si>
    <t>TSP_MAS009</t>
  </si>
  <si>
    <t>One brick walls</t>
  </si>
  <si>
    <t>TSP_SS004</t>
  </si>
  <si>
    <t>TSP_Window-Fixed</t>
  </si>
  <si>
    <t>TSP_ALT039</t>
  </si>
  <si>
    <t>Vitreous china wash hand basin</t>
  </si>
  <si>
    <t>No</t>
  </si>
  <si>
    <t>TSP_PLB142</t>
  </si>
  <si>
    <t>Plumbing and drainage</t>
  </si>
  <si>
    <t>? low level WC suite comprising WC pan with double flap heavy duty plastic seat and matching 9 litre cistern with flush pipe</t>
  </si>
  <si>
    <t>TSP_PLB148</t>
  </si>
  <si>
    <t>? x ?mm "?" acrylic bath with waste outlet, overflow grating with coupling and pair of handles, bedded in position</t>
  </si>
  <si>
    <t>Glazed steel window not exceeding 2,5m²</t>
  </si>
  <si>
    <t>TSP_CON058</t>
  </si>
  <si>
    <t>Columns</t>
  </si>
  <si>
    <t>TSP_RC003</t>
  </si>
  <si>
    <t>Pitched roof ? x ? x ?m high overall, of timber trusses and purlins, corrugated sheet steel covering, ceilings and cornices, eaves soffit covering, fascias, barge boards, gutters and rainwater pipes</t>
  </si>
  <si>
    <t>TSP_Code</t>
  </si>
  <si>
    <t>Unit</t>
  </si>
  <si>
    <t>901 x 1650mm</t>
  </si>
  <si>
    <t>601 x 900mm</t>
  </si>
  <si>
    <t>TSP WALL SCHEDULE</t>
  </si>
  <si>
    <t>UNMATCHED ITEMS</t>
  </si>
  <si>
    <t/>
  </si>
  <si>
    <t>Item</t>
  </si>
  <si>
    <t>Bill description</t>
  </si>
  <si>
    <t>SECTION 1: PRELIMINARIES AND GENERAL</t>
  </si>
  <si>
    <t>BILL NO.1 : PROJECT EXCECUTION COST</t>
  </si>
  <si>
    <t>No.</t>
  </si>
  <si>
    <t>SECTION 2: CONSTRUCTION</t>
  </si>
  <si>
    <t>BILL NO.1 : EARTHWORKS</t>
  </si>
  <si>
    <t>Site clearance</t>
  </si>
  <si>
    <t>Site Clearance by Digging up and removing rubbish, debris, vegetation, hedges, shrubs, bush, etc and trees not exceeding 200mm girth</t>
  </si>
  <si>
    <t>m²</t>
  </si>
  <si>
    <t>EXCAVATIONS ETC</t>
  </si>
  <si>
    <t>Cut and fill ground level for new floor levels over a sloping area (Provisional QTY)</t>
  </si>
  <si>
    <t>m³</t>
  </si>
  <si>
    <t>Excavation in earth not exceeding 1.5m deep</t>
  </si>
  <si>
    <t>Extra over trench and hole excavations in earth for excavation in</t>
  </si>
  <si>
    <t>Extra over all excavations for carting away</t>
  </si>
  <si>
    <t>Surplus material from excavations and/or stock piles on site, to a dumping site to be located by the contractor</t>
  </si>
  <si>
    <t>Risk of collapse of excavations</t>
  </si>
  <si>
    <t>FILLING ETC</t>
  </si>
  <si>
    <t>Filling allowed if needed</t>
  </si>
  <si>
    <t>Filling of gravel-soil material G5 supplied by the contractor, compacted to 95% Mod AASHTO density</t>
  </si>
  <si>
    <t>TESTS</t>
  </si>
  <si>
    <t>Modified AASHTO Density test</t>
  </si>
  <si>
    <t>Keeping excavations free of water</t>
  </si>
  <si>
    <t>Keeping excavations free of all water other than subterranean water (by use of Petrol water pump from plant hire companies)</t>
  </si>
  <si>
    <t>Compaction of natural or excavated ground surface under floors etc, including scarifying for a depth of 150mm, breaking down oversize material, adding suitable material where necessary and compacting to 93% Mod AASHTO density</t>
  </si>
  <si>
    <t>WEED KILLERS, INSECTICIDES, ETC Soil insecticide in accordance with SANS 5859</t>
  </si>
  <si>
    <t>BILL NO.2 : CONCRETE, FORMWORK AND REINFORCEMENT</t>
  </si>
  <si>
    <t>REINFORCED CONCRETE CAST AGAINST EXCAVATED SURFACES</t>
  </si>
  <si>
    <t>25MPa/19mm concrete</t>
  </si>
  <si>
    <t>REINFORCED CONCRETE CAST AGAINST EXCAVATED SURFACES ON WATERPROOFING</t>
  </si>
  <si>
    <t>REINFORCED CONCRETE CAST ON/IN FORMWORK 25MPa/19mm concrete</t>
  </si>
  <si>
    <t>Concrete Plant</t>
  </si>
  <si>
    <t>TEST CUBES</t>
  </si>
  <si>
    <t>Test Cubes   (SGS Matrolab Industries &amp; Environment)</t>
  </si>
  <si>
    <t>Making and testing 150 x 150 x 150mm concrete strength test cube (Provisional)</t>
  </si>
  <si>
    <t>CONCRETE SUNDRIES</t>
  </si>
  <si>
    <t>Finishing top surfaces of concrete smooth with a wood float</t>
  </si>
  <si>
    <t>ROUGH FORMWORK (DEGREE OF ACCURACY III)</t>
  </si>
  <si>
    <t>Rough formwork to sides</t>
  </si>
  <si>
    <t>Rough formwork to soffits</t>
  </si>
  <si>
    <t>MOVEMENT JOINTS ETC</t>
  </si>
  <si>
    <t>Two layers of 375 micron dampproof course in slip joints between horizontal concrete and brick surfaces including cement mortar bed</t>
  </si>
  <si>
    <t>m</t>
  </si>
  <si>
    <t>REINFORCEMENT (PROVISIONAL)</t>
  </si>
  <si>
    <t>Fabric reinforcement</t>
  </si>
  <si>
    <t>Ref 193 fabric reinforcement in concrete surface beds etc</t>
  </si>
  <si>
    <t>Mild &amp; High tensile steel reinforcement to structural concrete work</t>
  </si>
  <si>
    <t>Tonnes</t>
  </si>
  <si>
    <t>BILL NO.3 : MASONRY</t>
  </si>
  <si>
    <t>BRICKWORK IN SUBSTRUCTURE</t>
  </si>
  <si>
    <t>Brickwork of NFX bricks (14 MPa nominal compressive strength) in class II mortar</t>
  </si>
  <si>
    <t>One and a half brick walls</t>
  </si>
  <si>
    <t>Two brick walls</t>
  </si>
  <si>
    <t>2,5mm Brickwork reinforcement</t>
  </si>
  <si>
    <t>75mm Wide reinforcement built in horizontally</t>
  </si>
  <si>
    <t>150mm Wide reinforcement built in horizontally</t>
  </si>
  <si>
    <t>BRICKWORK IN SUPERSTRUCTURE</t>
  </si>
  <si>
    <r>
      <t>m</t>
    </r>
    <r>
      <rPr>
        <vertAlign val="superscript"/>
        <sz val="11"/>
        <color theme="1"/>
        <rFont val="Aptos Narrow"/>
        <family val="2"/>
        <scheme val="minor"/>
      </rPr>
      <t>3</t>
    </r>
  </si>
  <si>
    <t>220 X 110mm Sills set sloping and slightly projecting</t>
  </si>
  <si>
    <t>Prestressed fabricated concrete lintels including necessary temporary supports</t>
  </si>
  <si>
    <t xml:space="preserve">100 x 70mm Lintels </t>
  </si>
  <si>
    <t>BILL NO.4 : WATERPROOFING</t>
  </si>
  <si>
    <t>WATERPROOFING</t>
  </si>
  <si>
    <t>WATERPROOFING TO ROOFS ETC</t>
  </si>
  <si>
    <t>One layer Derbigum SP4 membrane, with 75mm side laps and 100mm end laps, sealed to primed surface to falls and crossfalls by "torch-fusion". Waterproofing to be installed by an Approved Derbigum Contractor under a ten-year guarantee.</t>
  </si>
  <si>
    <t>Dressing and sealing into 150mm x 85mm internal outlet, including additional membrane</t>
  </si>
  <si>
    <t>Two coats bituminous aluminium paint</t>
  </si>
  <si>
    <t>50mm thick Clean crushed stone aggregate (19-22mm) on top of 50mm ISO Board with one layer geotextile fabric on "Delta MS-8" dimpled drainage layer. All to manufacturers specification.</t>
  </si>
  <si>
    <t>DAMPPROOFING OF WALLS AND FLOORS</t>
  </si>
  <si>
    <t>One layer 375 micron embossed polyethylene dampproof course (SANS 952-1985 type B)</t>
  </si>
  <si>
    <t>One layer 250 micron green polyethylene waterproof sheeting (SANS 952-1985 type C) sealed at laps with PVC self-adhesive tape</t>
  </si>
  <si>
    <t>BILL NO.5 : ROOF COVERING</t>
  </si>
  <si>
    <t>ROOF</t>
  </si>
  <si>
    <t>Roof as per architectural plans</t>
  </si>
  <si>
    <t>Roof Structure</t>
  </si>
  <si>
    <t>BILL NO.6 : CARPENTRY AND JOINERY</t>
  </si>
  <si>
    <t>DOORS ETC</t>
  </si>
  <si>
    <t>Internal Doors and frames</t>
  </si>
  <si>
    <t>SKIRTINGS</t>
  </si>
  <si>
    <t>Wrought meranti</t>
  </si>
  <si>
    <t>BILL NO.7 : CEILINGS, PARTITIONS AND ACCESS FLOORING</t>
  </si>
  <si>
    <t>NAILED-UP CEILINGS</t>
  </si>
  <si>
    <t>NAILED-UP CEILINGS 9mm "Gyproc" Gypsum plasterboard with gypsum skim coat plaster including brandering according to manufacturers specifications</t>
  </si>
  <si>
    <t>Opening for 63mm diameter downlighter</t>
  </si>
  <si>
    <t>Extra over for 600 x 600mm trap door</t>
  </si>
  <si>
    <t>KNAUF INSULATION</t>
  </si>
  <si>
    <t>135mm Insulation in blanket form closely fitted and laid on top of brandering between roof timbers etc</t>
  </si>
  <si>
    <t>BILL NO.8 : METALWORK</t>
  </si>
  <si>
    <t>ALUMINIUM WINDOWS, DOORS, ETC</t>
  </si>
  <si>
    <t>"Wispeco" Casement 40 system epoxy powder coated aluminium Windows glazed as per SANS and SAGA regulations and plugged to brickwork or concrete</t>
  </si>
  <si>
    <t>Door and Window Schedule as per drawings included at the back of these Bills of Quantities</t>
  </si>
  <si>
    <t>ALUMINIUM DOORS</t>
  </si>
  <si>
    <t>"Wispeco" Palace system epoxy powder coated aluminium doors glazed as per SANS and SAGA regulations and plugged to brickwork or concrete</t>
  </si>
  <si>
    <t>BILL NO.9 : PLASTERING</t>
  </si>
  <si>
    <t>SCREEDS</t>
  </si>
  <si>
    <t>1:3 Screeds wood floated, on concrete</t>
  </si>
  <si>
    <t>25mm Thick on floors and landings</t>
  </si>
  <si>
    <t>On risers not exceeding 170mm girth</t>
  </si>
  <si>
    <t>On threads not exceeding 300mm girth</t>
  </si>
  <si>
    <t>Average 50mm thick on floors with upper surface to falls (Patio's and Balconies)</t>
  </si>
  <si>
    <t>Average 50mm thick on floors with upper surface to falls (Showers)</t>
  </si>
  <si>
    <t>average 50 mm Thick on roofs to fall and currents</t>
  </si>
  <si>
    <t>INTERNAL/ EXTERNAL PLASTER</t>
  </si>
  <si>
    <t>1:3 Cement plaster steel trowelled, on brickwork</t>
  </si>
  <si>
    <t>1:3 Cement plaster steel trowelled, on concrete</t>
  </si>
  <si>
    <t>On Ceilings</t>
  </si>
  <si>
    <t>GYPSUM PLASTER</t>
  </si>
  <si>
    <t>Gypsum skim plaster finishing coat, on plaster</t>
  </si>
  <si>
    <t>BILL NO.10 : TILING</t>
  </si>
  <si>
    <t>1200 x 600 x 8mm Porcelain tiles (PC Sum elsewhere) fixed with TAL Professional adhesive to plaster (plaster elsewhere) and flush pointed with tinted waterproof grout</t>
  </si>
  <si>
    <t>300 x 300 x 8mm Glass Mosaic tiles (PC Sum elsewhere) fixed with TAL Mosaic adhesive to plaster (plaster elsewhere) and flush pointed with tinted waterproof grout</t>
  </si>
  <si>
    <t>1200 x 600 x 8mm Porcelain floor tiles (PC Sum elsewhere) fixed with TAL Professional adhesive to screed (screed elsewhere) and flush pointed with waterproof grout</t>
  </si>
  <si>
    <t>Falcon 10mm straight edge aluminium tile edge trim</t>
  </si>
  <si>
    <t>BILL NO.11 : PLUMBING AND DRAINAGE</t>
  </si>
  <si>
    <t>RAINWATER DISPOSAL</t>
  </si>
  <si>
    <t>Harscan Fluid Thinking</t>
  </si>
  <si>
    <t>100mm Rain-Flo 180° Flat Grate Full Bore</t>
  </si>
  <si>
    <t>100mm Rain-Flo 180° Dome Grate Full Bore PVC-U pipes</t>
  </si>
  <si>
    <t>110mm PVC down-pipes in wall/ columns</t>
  </si>
  <si>
    <t>WATER RETICULATION</t>
  </si>
  <si>
    <t>32mm Plasson pipe (in ground)</t>
  </si>
  <si>
    <t>Water Connection</t>
  </si>
  <si>
    <t xml:space="preserve">Water Points (hot/ cold) </t>
  </si>
  <si>
    <t>Garden taps</t>
  </si>
  <si>
    <t>110mm Sewer Pipe including river sand</t>
  </si>
  <si>
    <t>110mm PVC Single Stack</t>
  </si>
  <si>
    <t>110mm PVC Double Stack</t>
  </si>
  <si>
    <t>110mm PVC Gully trap with grid and concrete shoe</t>
  </si>
  <si>
    <t>110mm WC Waste</t>
  </si>
  <si>
    <t>50mm Waste WHB</t>
  </si>
  <si>
    <t>Rodding Eyes/ Inspection Eyes</t>
  </si>
  <si>
    <t>110mm Vents (2-way)</t>
  </si>
  <si>
    <t>INSTALATIONS</t>
  </si>
  <si>
    <t>Closed couple toilets</t>
  </si>
  <si>
    <t>Geberit toilets</t>
  </si>
  <si>
    <t>Hand Wash Basins</t>
  </si>
  <si>
    <t>Shower</t>
  </si>
  <si>
    <t>Built-in bath</t>
  </si>
  <si>
    <t>Freestanding bath</t>
  </si>
  <si>
    <t>Sink</t>
  </si>
  <si>
    <t>Prep bowl</t>
  </si>
  <si>
    <t>Wash through sink</t>
  </si>
  <si>
    <t>Washing machine</t>
  </si>
  <si>
    <t>Dishwasher</t>
  </si>
  <si>
    <t>Fridge</t>
  </si>
  <si>
    <t>WATER HEATING SYSTEM</t>
  </si>
  <si>
    <t>BILL NO.12 : ELECTRICAL WORK</t>
  </si>
  <si>
    <t>Main distribution board 1ph</t>
  </si>
  <si>
    <t>Sub DB-1ph</t>
  </si>
  <si>
    <t>Ripple Box</t>
  </si>
  <si>
    <t>Supply Cable 16mmx3</t>
  </si>
  <si>
    <t>Supply Cable 16mmx4</t>
  </si>
  <si>
    <t>Double Plugs</t>
  </si>
  <si>
    <t>Single plugs</t>
  </si>
  <si>
    <t>Double Plugs - Water resistant</t>
  </si>
  <si>
    <t>Single Plug in Slab</t>
  </si>
  <si>
    <t>Single Plug in Ceiling</t>
  </si>
  <si>
    <t>Extractor fan Point-Stove</t>
  </si>
  <si>
    <t>220V Light points in slab/flat roof</t>
  </si>
  <si>
    <t>220V Light points in ceiling</t>
  </si>
  <si>
    <t>Floor light points</t>
  </si>
  <si>
    <t>Wall light points</t>
  </si>
  <si>
    <t>Downlighter for Garage door</t>
  </si>
  <si>
    <t>Footlight points-Low Voltage-Stairs</t>
  </si>
  <si>
    <t>Two-way switching</t>
  </si>
  <si>
    <t>Three-way switching</t>
  </si>
  <si>
    <t>Four-way switching</t>
  </si>
  <si>
    <t>Day &amp; Night Switches</t>
  </si>
  <si>
    <t xml:space="preserve">Dimmers </t>
  </si>
  <si>
    <t>Hanging of ceiling/ wall fan</t>
  </si>
  <si>
    <t>Installation of strip lights</t>
  </si>
  <si>
    <t>Installation of strip light Driver Unit</t>
  </si>
  <si>
    <t>Installation of lights</t>
  </si>
  <si>
    <t>Stove, oven and extractor fan point</t>
  </si>
  <si>
    <t>Geyser points</t>
  </si>
  <si>
    <t>Underfloor heating points</t>
  </si>
  <si>
    <t>Aircon Point (9,000-18,000 BTU)</t>
  </si>
  <si>
    <t>Aircon Point (24,000-30,000 BTU)</t>
  </si>
  <si>
    <t>Aircon Point (36,000-48,000 BTU)</t>
  </si>
  <si>
    <t>Aircon Point (60,000 BTU)</t>
  </si>
  <si>
    <t>Pool supply-not heated</t>
  </si>
  <si>
    <t>Heated Pool/Jacuzzi Supply only</t>
  </si>
  <si>
    <t>Sauna Supply only</t>
  </si>
  <si>
    <t>Steam Shower Point</t>
  </si>
  <si>
    <t>Heated Towel Rail Point</t>
  </si>
  <si>
    <t>Shaver Plug</t>
  </si>
  <si>
    <t>Bathroom Extractor Point-Wall</t>
  </si>
  <si>
    <t>Bathroom Extractor Point-Ceiling</t>
  </si>
  <si>
    <t>Alarm points-Beams outside</t>
  </si>
  <si>
    <t>Speaker points-Ceiling</t>
  </si>
  <si>
    <t>Speaker points-Wall</t>
  </si>
  <si>
    <t>Telephone points</t>
  </si>
  <si>
    <t>Data Points</t>
  </si>
  <si>
    <t>TV points</t>
  </si>
  <si>
    <t>TV-connection point external</t>
  </si>
  <si>
    <t>Telkom-connection point external</t>
  </si>
  <si>
    <t>Fibert-connection point external</t>
  </si>
  <si>
    <t>Smart Living Comms Box</t>
  </si>
  <si>
    <t>Gate Motor Point</t>
  </si>
  <si>
    <t>Intercom Point</t>
  </si>
  <si>
    <t>Solar tubing to roof and Solar system</t>
  </si>
  <si>
    <t>Bonding &amp; Earthing</t>
  </si>
  <si>
    <t>COC</t>
  </si>
  <si>
    <t>BILL NO.13 : PAINTWORK</t>
  </si>
  <si>
    <t>ON NEW INTERNAL/ EXTERNAL FLOATED PLASTER SURFACES</t>
  </si>
  <si>
    <t>One coat Plascon TradePro Plaster Primer (Solvent Base) and two coats Plascon Professional Low Sheen acrylic emulsion paint for exterior use</t>
  </si>
  <si>
    <t>Walls (Plascon Carlton Grey)</t>
  </si>
  <si>
    <t>One coat Plascon TradePro Plaster Primer (Solvent Base) and two coats Plascon Polvin acrylic emulsion paint for exterior use</t>
  </si>
  <si>
    <t>Ceilings and beams  (White colour group)</t>
  </si>
  <si>
    <t>ON DOORS AND FRAMES</t>
  </si>
  <si>
    <t>One coat Duram NS5 Metcote Etch Steel Primer Red primer and two coats Plascon Valvaglo (oil based) (Dark Onyx 42) enamel paint</t>
  </si>
  <si>
    <t>ON SKIRTINGS</t>
  </si>
  <si>
    <t>Skirtings, rails, etc not exceeding 300mm girth</t>
  </si>
  <si>
    <t>ON NEW STEEL SURFACES</t>
  </si>
  <si>
    <t>BILL NO.14 : PROVISIONAL SUMS</t>
  </si>
  <si>
    <t>PRIME COST AMOUNTS (by a specialist contractor)</t>
  </si>
  <si>
    <t>BIC</t>
  </si>
  <si>
    <t>Provide the amount of  R8,000.00/m (Excl VAT) for BIC Installation</t>
  </si>
  <si>
    <t>Profit</t>
  </si>
  <si>
    <t>Decking around pool</t>
  </si>
  <si>
    <t>Provide the prime cost amount of R 2,750.00/m2 (Excl VAT) for Decking</t>
  </si>
  <si>
    <t>Balustrades</t>
  </si>
  <si>
    <t>Provide the prime cost amount of R 1,750.00/m (Excl VAT) for Balustrades</t>
  </si>
  <si>
    <t>Shower Enclosures</t>
  </si>
  <si>
    <t>Provide the amount of  R25,000.00/m (Excl VAT) for Shower Enclosures</t>
  </si>
  <si>
    <t>COST PRICE AMOUNTS</t>
  </si>
  <si>
    <t>Floor Tiles Porcelain</t>
  </si>
  <si>
    <t>Provide the amount of R 500.00/m2 (Excl VAT including delivery to site) for Internal Floor Tiles Porcelain (10% waste included in Qty)</t>
  </si>
  <si>
    <t>Mosaics</t>
  </si>
  <si>
    <t>Provide the amount of R 5,0500.00/m2 (Excl VAT including delivery to site) for Bathroom Floor Tiles Porcelain (10% waste included in Qty)</t>
  </si>
  <si>
    <t>Bathroom Wall Tiles Porcelain</t>
  </si>
  <si>
    <t>Provide the amount of R 300.00/m2 (Excl VAT including delivery to site) for Bathroom Wall Tiles Porcelain (10% waste included in Qty)</t>
  </si>
  <si>
    <t>Bathroom Vanities</t>
  </si>
  <si>
    <t>Provide the amount of R 20,000.00/No. (Excl VAT including delivery to site) for Bathroom Vanities</t>
  </si>
  <si>
    <t>Lighting - Light Fittings, Globes and Transformers</t>
  </si>
  <si>
    <t>Provide the prime cost amount of R 25,000.00 (Excl VAT including delivery to site) for BLighting - Light Fittings, Globes and Transformers</t>
  </si>
  <si>
    <t>Light Switches, Plug Sockets and Isolator Switches</t>
  </si>
  <si>
    <t>Provide the prime cost amount of R 15,000.00 (Excl VAT including delivery to site) for Light Switches, Plug Sockets and Isolator Switches</t>
  </si>
  <si>
    <t>Bathroom Ironmongery</t>
  </si>
  <si>
    <t>Provide the prime cost amount of R7,500.00 (Excl VAT including delivery to site) for Bathroom Ironmongery</t>
  </si>
  <si>
    <t>Sanitary Ware</t>
  </si>
  <si>
    <t>Provide the prime cost amount of R 30,000.00 (Excl VAT including delivery to site) for Sanitary Ware (ground floor)</t>
  </si>
  <si>
    <t xml:space="preserve"> </t>
  </si>
  <si>
    <t>Add line to insert Contract Name</t>
  </si>
  <si>
    <t>Fixed…...</t>
  </si>
  <si>
    <t>Value…...</t>
  </si>
  <si>
    <t>Time…...</t>
  </si>
  <si>
    <t>Preliminaries</t>
  </si>
  <si>
    <t>EARTHWORKS</t>
  </si>
  <si>
    <t>MASONRY</t>
  </si>
  <si>
    <t>=(TSP_CON052 Area) + (TSP_EW132 Area) + (TSP_MAS007 Area)</t>
  </si>
  <si>
    <t>=[(TSP_CON052 Area) + (TSP_EW132 Area) + (TSP_MAS007 Area)] x 4</t>
  </si>
  <si>
    <t>=(TSP_MAS008 Area)</t>
  </si>
  <si>
    <t>=(TSP_MAS009 Area)</t>
  </si>
  <si>
    <t>=(TSP_MAS008 Area) x 3</t>
  </si>
  <si>
    <t>=(TSP_MAS009 Area) x 3</t>
  </si>
  <si>
    <t>=(TSP_MAS007 x Length x 0.225) + (TSP_MAS008 x Length x  0.15) + (TSP_MAS009 x Length x 0.225</t>
  </si>
  <si>
    <t>= (TSP_SS004 x Width)</t>
  </si>
  <si>
    <t>TSP WINDOW SCHEDULE</t>
  </si>
  <si>
    <t>TSP DOOR SCHEDULE</t>
  </si>
  <si>
    <r>
      <t>= (TSP_SS004 x Width x 2) + (TSP_SS004 x Count x 2 x 0.3) + (</t>
    </r>
    <r>
      <rPr>
        <sz val="11"/>
        <color rgb="FFFF0000"/>
        <rFont val="Aptos Narrow"/>
        <family val="2"/>
        <scheme val="minor"/>
      </rPr>
      <t>TSP_SW016</t>
    </r>
    <r>
      <rPr>
        <sz val="11"/>
        <color theme="1"/>
        <rFont val="Aptos Narrow"/>
        <family val="2"/>
        <scheme val="minor"/>
      </rPr>
      <t xml:space="preserve"> X Width x 2) + (</t>
    </r>
    <r>
      <rPr>
        <sz val="11"/>
        <color rgb="FFFF0000"/>
        <rFont val="Aptos Narrow"/>
        <family val="2"/>
        <scheme val="minor"/>
      </rPr>
      <t>TSP_SW016</t>
    </r>
    <r>
      <rPr>
        <sz val="11"/>
        <color theme="1"/>
        <rFont val="Aptos Narrow"/>
        <family val="2"/>
        <scheme val="minor"/>
      </rPr>
      <t xml:space="preserve"> x Count x 2 x 0.30) </t>
    </r>
  </si>
  <si>
    <r>
      <rPr>
        <sz val="11"/>
        <color rgb="FFFF0000"/>
        <rFont val="Aptos Narrow"/>
        <family val="2"/>
        <scheme val="minor"/>
      </rPr>
      <t xml:space="preserve">TSP_SW016 </t>
    </r>
    <r>
      <rPr>
        <b/>
        <sz val="11"/>
        <color theme="1"/>
        <rFont val="Aptos Narrow"/>
        <family val="2"/>
        <scheme val="minor"/>
      </rPr>
      <t>(TO BE CONFIRMED)</t>
    </r>
  </si>
  <si>
    <r>
      <t>={[(TSP_MAS008 Area x 2) + (TSP_MAS009 Area)] x 2} + (TSP_SS004 x Width x 0.45) + (TSP_SS004 x Width x 2 x 0.22) + (TSP_SS004 x Height x 2 x 0.22) + (</t>
    </r>
    <r>
      <rPr>
        <sz val="11"/>
        <color rgb="FFFF0000"/>
        <rFont val="Aptos Narrow"/>
        <family val="2"/>
        <scheme val="minor"/>
      </rPr>
      <t>TSP_SW016</t>
    </r>
    <r>
      <rPr>
        <sz val="11"/>
        <color theme="1"/>
        <rFont val="Aptos Narrow"/>
        <family val="2"/>
        <scheme val="minor"/>
      </rPr>
      <t xml:space="preserve"> x Width x 0.22) + (</t>
    </r>
    <r>
      <rPr>
        <sz val="11"/>
        <color rgb="FFFF0000"/>
        <rFont val="Aptos Narrow"/>
        <family val="2"/>
        <scheme val="minor"/>
      </rPr>
      <t>TSP_SW016</t>
    </r>
    <r>
      <rPr>
        <sz val="11"/>
        <color theme="1"/>
        <rFont val="Aptos Narrow"/>
        <family val="2"/>
        <scheme val="minor"/>
      </rPr>
      <t>x Height x 2 x 0.22)</t>
    </r>
  </si>
  <si>
    <t>TSP_RB016</t>
  </si>
  <si>
    <t>TSP FLOOR SCHEDULE</t>
  </si>
  <si>
    <t>FLOOR</t>
  </si>
  <si>
    <t>= (TSP_RB016 Area)</t>
  </si>
  <si>
    <t>CEILINGS</t>
  </si>
  <si>
    <t>TSP CEILING SCHEDULE</t>
  </si>
  <si>
    <t>ROOM</t>
  </si>
  <si>
    <t>Manual adjustment</t>
  </si>
  <si>
    <t>= Applicable room perimeter x unconnected height</t>
  </si>
  <si>
    <t>Lights (Part 1)</t>
  </si>
  <si>
    <t>Alarm points and Data</t>
  </si>
  <si>
    <t>Connects to all installations</t>
  </si>
  <si>
    <t>Connects to 32mm Plasson pipe (in ground)</t>
  </si>
  <si>
    <t>= Applicable room perimeter</t>
  </si>
  <si>
    <t>NEED_CODE001</t>
  </si>
  <si>
    <t>= NEED_CODE001 Area</t>
  </si>
  <si>
    <t>Manual Adjustment</t>
  </si>
  <si>
    <t>Connects to LED Downlight in Ceiling</t>
  </si>
  <si>
    <t>= TSP_RB016 Area</t>
  </si>
  <si>
    <t>TSP_RB018</t>
  </si>
  <si>
    <t>= TSP_RB018 Area</t>
  </si>
  <si>
    <t>Add 20-60 Adjustment items for this Bill.</t>
  </si>
  <si>
    <t>Links to skirtings in Carpentry bill</t>
  </si>
  <si>
    <t>Links to skirtings in Ceiling Bill and Plaster Bill</t>
  </si>
  <si>
    <t>TSP_RB017</t>
  </si>
  <si>
    <t>TSP_RB020</t>
  </si>
  <si>
    <t>TSP_RB387</t>
  </si>
  <si>
    <t>Floor: 170mm Slab - Roof</t>
  </si>
  <si>
    <t>= (TSP_RB017 Area)</t>
  </si>
  <si>
    <t>= (TSP_RB017 Perimeter x 0.15)</t>
  </si>
  <si>
    <t>= (TSP_RB387 Area)</t>
  </si>
  <si>
    <t>= (TSP_RB387 Area x 0.15)</t>
  </si>
  <si>
    <t>Roof Covering including Facia and Barge boards</t>
  </si>
  <si>
    <t>TSP ROOF SCHEDULE</t>
  </si>
  <si>
    <t>= (TSP_RC003 Area)</t>
  </si>
  <si>
    <t>Connects to Waterproofing shower floors</t>
  </si>
  <si>
    <t>Manual adjustment and link to wall tiling</t>
  </si>
  <si>
    <t>Formula ZERO if no manual entry</t>
  </si>
  <si>
    <t>See Formula in QTY cell</t>
  </si>
  <si>
    <t>= (TSP_RB016 Area) + (TSP_RB017 Area) + (TSP_RB018 Area)</t>
  </si>
  <si>
    <t>Link to Waterproofing shower floors only to pull in if manual entry mande</t>
  </si>
  <si>
    <t>Links to Plastering</t>
  </si>
  <si>
    <t>Links to Tiling walls</t>
  </si>
  <si>
    <t>(Only if manual entry is made), if no entry formula must result in 0</t>
  </si>
  <si>
    <t>TSPFOUND001</t>
  </si>
  <si>
    <t>= (TSPFOUND001 Area x 0.65)</t>
  </si>
  <si>
    <t>TSP STRUCTURAL FOUNDATION SCHEDULE</t>
  </si>
  <si>
    <t xml:space="preserve">= (TSPFOUND001 Area) + (TSPFOUND001 Perimeter x 0.65 x 2) </t>
  </si>
  <si>
    <t xml:space="preserve">= (TSPFOUND001 Area) </t>
  </si>
  <si>
    <t xml:space="preserve">= (TSPFOUND001 Area x 0.30) </t>
  </si>
  <si>
    <t xml:space="preserve">= (TSPFOUND001 Perimeter x 0.65 x 2) </t>
  </si>
  <si>
    <t xml:space="preserve">= (TSPFOUND001 Area x 0.65) </t>
  </si>
  <si>
    <t xml:space="preserve">= (TSPFOUND001 Area x 0.65 x 20%) </t>
  </si>
  <si>
    <t>= (TSP_RB016 Volume)</t>
  </si>
  <si>
    <t>= (TSP_RB017 Volume) + (TSP_RB018Volume) + (TSP_RB387 Volume)</t>
  </si>
  <si>
    <t>= (TSP_RB016 Area) + (TSP_RB017 Area) + (TSP_RB018 Area) + (TSP_RB387 Area)</t>
  </si>
  <si>
    <t>= (TSP_RB018 Area)</t>
  </si>
  <si>
    <t>= (TSP_RB017 Area) + (TSP_RB387 Area)</t>
  </si>
  <si>
    <t>= (TSP_RB017 Area x 25/1000) + (TSP_RB387 x 25/1000) + (TSP_RB018 Area *25/1000)</t>
  </si>
  <si>
    <t>= (TSPFOUND001 Area x 0.65 x 85/1000)</t>
  </si>
  <si>
    <t>Bill Sheet</t>
  </si>
  <si>
    <t>Bill Row</t>
  </si>
  <si>
    <t>Wall Foundation: Bearing Footing - 600X200 mm</t>
  </si>
  <si>
    <t>Reinforced concrete</t>
  </si>
  <si>
    <t>Unreinforced concrete</t>
  </si>
  <si>
    <t>TSP_SW016</t>
  </si>
  <si>
    <t>Metalwork</t>
  </si>
  <si>
    <t>Sliding door ? x ?mm high</t>
  </si>
  <si>
    <t>Strip footings excavation</t>
  </si>
  <si>
    <t>Soft rock  excavation</t>
  </si>
  <si>
    <t>Hard rock excavation</t>
  </si>
  <si>
    <t>ROC Sides of trench and hole excavations not exceeding 1.5m deep</t>
  </si>
  <si>
    <t>G5 import to bottoms of strip footings</t>
  </si>
  <si>
    <t>Compaction of surfaces</t>
  </si>
  <si>
    <t xml:space="preserve">Prescribed tests to determine degree of compaction or other properties of ground or filling done by a Certified Labratorium </t>
  </si>
  <si>
    <t>Compaction of natural or excavated ground surface in trenches, pad footings, etc including scarifying for a depth of 100mm, breaking down oversize material and compacting to 93% Mod AASHTO density</t>
  </si>
  <si>
    <t>Soil poisoning to bottoms and sides of strip footings</t>
  </si>
  <si>
    <t>Soil poisoning to bottoms of floors</t>
  </si>
  <si>
    <t>Strip footings (concrete)</t>
  </si>
  <si>
    <t>Slabs including beams and inverted beams (concrete)</t>
  </si>
  <si>
    <t>Up-stand beams (concrete)</t>
  </si>
  <si>
    <t>Concrete pumping</t>
  </si>
  <si>
    <t>Floating surface beds, slabs, etc</t>
  </si>
  <si>
    <t>Floating tops of beams, walls, etc</t>
  </si>
  <si>
    <t>Formwork to sides of beams</t>
  </si>
  <si>
    <t>Decking to slabs not exceeding 170mm propped up not exceeding 3.5 high</t>
  </si>
  <si>
    <t>Decking to slabs not exceeding 250mm propped up not exceeding 3.5 high</t>
  </si>
  <si>
    <t>Malthoid 2 ply not exceeding 300mm girth</t>
  </si>
  <si>
    <t>Various Diameter reinforcement bars (Strip footings) 45kg/m3</t>
  </si>
  <si>
    <t>One brick walls (foundation)</t>
  </si>
  <si>
    <t>One and a half brick walls (foundation)</t>
  </si>
  <si>
    <t>Two brick walls (foundation)</t>
  </si>
  <si>
    <t>Mass brick work (foundation)</t>
  </si>
  <si>
    <t>75mm Wide reinforcement built in horizontally (foundation)</t>
  </si>
  <si>
    <t>150mm Wide reinforcement built in horizontally (foundation)</t>
  </si>
  <si>
    <t>Derbigum on flat roofs</t>
  </si>
  <si>
    <t>Derbigum on turn ups</t>
  </si>
  <si>
    <t>Bituminous aluminium paint on waterproofing to roofs</t>
  </si>
  <si>
    <t>DPC In walls</t>
  </si>
  <si>
    <t>DPC Under window sills</t>
  </si>
  <si>
    <t>= (TSP_????? x Width)</t>
  </si>
  <si>
    <t>USB Green Under surface beds</t>
  </si>
  <si>
    <t>120 x 20mm Wooden Skirtings, plugged</t>
  </si>
  <si>
    <t>9mm Horizontal ceilings including grid</t>
  </si>
  <si>
    <t>Aluminium Windows</t>
  </si>
  <si>
    <t>Aluminium Doors</t>
  </si>
  <si>
    <t>TSP_ST01</t>
  </si>
  <si>
    <r>
      <t xml:space="preserve">= (TSP_ST01 Riser)  x  </t>
    </r>
    <r>
      <rPr>
        <b/>
        <sz val="11"/>
        <color rgb="FFFF0000"/>
        <rFont val="Aptos Narrow"/>
        <family val="2"/>
        <scheme val="minor"/>
      </rPr>
      <t>Width</t>
    </r>
    <r>
      <rPr>
        <sz val="11"/>
        <color rgb="FFFF0000"/>
        <rFont val="Aptos Narrow"/>
        <family val="2"/>
        <scheme val="minor"/>
      </rPr>
      <t xml:space="preserve">   x  0.17</t>
    </r>
  </si>
  <si>
    <r>
      <t xml:space="preserve">= (TSP_ST01 Riser)  x  </t>
    </r>
    <r>
      <rPr>
        <b/>
        <sz val="11"/>
        <color rgb="FFFF0000"/>
        <rFont val="Aptos Narrow"/>
        <family val="2"/>
        <scheme val="minor"/>
      </rPr>
      <t>Width</t>
    </r>
    <r>
      <rPr>
        <sz val="11"/>
        <color rgb="FFFF0000"/>
        <rFont val="Aptos Narrow"/>
        <family val="2"/>
        <scheme val="minor"/>
      </rPr>
      <t xml:space="preserve">   x  0.3</t>
    </r>
  </si>
  <si>
    <t>TSP Stair Schedule</t>
  </si>
  <si>
    <r>
      <t xml:space="preserve">= (TSP_ST01 Riser)  x  </t>
    </r>
    <r>
      <rPr>
        <b/>
        <sz val="11"/>
        <color rgb="FFFF0000"/>
        <rFont val="Aptos Narrow"/>
        <family val="2"/>
        <scheme val="minor"/>
      </rPr>
      <t>Width</t>
    </r>
    <r>
      <rPr>
        <sz val="11"/>
        <color rgb="FFFF0000"/>
        <rFont val="Aptos Narrow"/>
        <family val="2"/>
        <scheme val="minor"/>
      </rPr>
      <t xml:space="preserve">  </t>
    </r>
  </si>
  <si>
    <t>Add Manual adjustment: edging to shower tile ends, window surrounds, around doors, top of tiles if half wall tiles</t>
  </si>
  <si>
    <t>TSP_CEIL06</t>
  </si>
  <si>
    <t>TSP_CEIL09</t>
  </si>
  <si>
    <t>= (TSP_CEIL06  Area) + (TSP_CEIL09  Area)</t>
  </si>
  <si>
    <t>= (TSP_CEIL06  Perimeter) + (TSP_CEIL09  Perimeter)</t>
  </si>
  <si>
    <t>= (TSP_CEIL06  Area) + (TSP_CEIL09  Area) + (TSP_CEIL06  Perimeter x 0.15) + (TSP_CEIL09  Perimeter x 0.15) + (TSP_RB016 Area)</t>
  </si>
  <si>
    <t>Gypsum plaster On walls</t>
  </si>
  <si>
    <t>Cement plaster on walls</t>
  </si>
  <si>
    <t>={[(TSP_MAS008 Area x 2) + (TSP_MAS009 Area)] x 2} + (TSP_SS004 x Width x 0.45) + (TSP_SS004 x Width x 2 x 0.22) + (TSP_SS004 x Height x 2 x 0.22) + (TSP_SW016 x Width x 0.22) + (TSP_SW016x Height x 2 x 0.22)</t>
  </si>
  <si>
    <r>
      <t xml:space="preserve">TSP_SW016 </t>
    </r>
    <r>
      <rPr>
        <b/>
        <sz val="11"/>
        <color rgb="FFFF0000"/>
        <rFont val="Aptos Narrow"/>
        <family val="2"/>
        <scheme val="minor"/>
      </rPr>
      <t>(TO BE CONFIRMED)</t>
    </r>
  </si>
  <si>
    <t>TILING</t>
  </si>
  <si>
    <t>MANUAL - LINK IN BOQ</t>
  </si>
  <si>
    <t>Tiles on risers not exceeding 170mm girth</t>
  </si>
  <si>
    <t>Tiles on threads not exceeding 300mm girth</t>
  </si>
  <si>
    <t xml:space="preserve">Mosaics on walls (Kitchen splash backs walls) </t>
  </si>
  <si>
    <t xml:space="preserve">Mosaics on walls (Shower walls) </t>
  </si>
  <si>
    <t>Tiles on walls (Bathrooms)</t>
  </si>
  <si>
    <t>Tiles on walls (Kitchen)</t>
  </si>
  <si>
    <t>Tiles on floors and landings</t>
  </si>
  <si>
    <r>
      <t xml:space="preserve">= [(TSP_ST01 Riser)  x  </t>
    </r>
    <r>
      <rPr>
        <b/>
        <sz val="11"/>
        <color rgb="FFFF0000"/>
        <rFont val="Aptos Narrow"/>
        <family val="2"/>
        <scheme val="minor"/>
      </rPr>
      <t>Width</t>
    </r>
    <r>
      <rPr>
        <sz val="11"/>
        <color rgb="FFFF0000"/>
        <rFont val="Aptos Narrow"/>
        <family val="2"/>
        <scheme val="minor"/>
      </rPr>
      <t xml:space="preserve"> ]</t>
    </r>
  </si>
  <si>
    <t>One coat Plascon Pink Wood Primer and two coats Plascon Valvaglo (oil based) (Dark Onyx 42) enamel paint</t>
  </si>
  <si>
    <t>ON DOORS</t>
  </si>
  <si>
    <t>Doors and frames</t>
  </si>
  <si>
    <t>TSP_DOOR02W</t>
  </si>
  <si>
    <t>= (TSP_DOOR02W Width x 0.35) + (TSP_DOOR02W Height x 2 x 0.35) + (TSP_DOOR02W x Width X Height X Count x 2.1 Factor)</t>
  </si>
  <si>
    <t>NOTE:  TSP_DOOR01A = Aluminium</t>
  </si>
  <si>
    <t>NOTE:  TSP_DOOR01AG = Aluminium Garage Door</t>
  </si>
  <si>
    <t>NOTE:  TSP_DOOR02W = Wooden door and Frame</t>
  </si>
  <si>
    <t>TSP_PBOWL</t>
  </si>
  <si>
    <t>TSP_WCCC</t>
  </si>
  <si>
    <t>TSP_WCGC</t>
  </si>
  <si>
    <t>TSP_WHB</t>
  </si>
  <si>
    <t>TSP_SHR</t>
  </si>
  <si>
    <t>TSP_BIB</t>
  </si>
  <si>
    <t>TSP_FSB</t>
  </si>
  <si>
    <t>TSP_KSINK</t>
  </si>
  <si>
    <t>TSP_WTHR</t>
  </si>
  <si>
    <t>TSP_WM</t>
  </si>
  <si>
    <t>TSP_DW</t>
  </si>
  <si>
    <t>TSP_FF</t>
  </si>
  <si>
    <t>Electrical geyser 150L</t>
  </si>
  <si>
    <t>Electrical geyser 200L</t>
  </si>
  <si>
    <t>Electrical geyser 250L</t>
  </si>
  <si>
    <t>Electrical geyser 300L</t>
  </si>
  <si>
    <t>TSP_EGEY150</t>
  </si>
  <si>
    <t>TSP_EGEY200</t>
  </si>
  <si>
    <t>TSP_EGEY250</t>
  </si>
  <si>
    <t>TSP_EGEY300</t>
  </si>
  <si>
    <t>Solar geyser 150L</t>
  </si>
  <si>
    <t>Solar geyser 200L</t>
  </si>
  <si>
    <t>Solar geyser 250L</t>
  </si>
  <si>
    <t>Solar geyser 300L</t>
  </si>
  <si>
    <t>TSP_SGEY150</t>
  </si>
  <si>
    <t>TSP_SGEY200</t>
  </si>
  <si>
    <t>TSP_SGEY250</t>
  </si>
  <si>
    <t>TSP_SGEY300</t>
  </si>
  <si>
    <t>TSP SANITARY SCHEDULE</t>
  </si>
  <si>
    <t>TSP Maestro Bath used - remove others - see sub types</t>
  </si>
  <si>
    <t>TSP Toilet 3D Wall Based used - remove others - see sub types</t>
  </si>
  <si>
    <t>TSP Shower Stall Rectangular 915 x 915mm Private used - remove others - change to say only shower</t>
  </si>
  <si>
    <t>TSP Sink Kitchen Double 1065mm x 535mm - Private used - remove others - Add Single and a Single Butler Sink options - all same code</t>
  </si>
  <si>
    <t>TSP Sink Vanity Round 482 x 482 used - remove others - change name to Prep Bowl</t>
  </si>
  <si>
    <t>Please add Family</t>
  </si>
  <si>
    <t>TSP_RE00</t>
  </si>
  <si>
    <t>= (TSP_WHB Count) +  (TSP_SHR Count) + (TSP_BIB Count) + (TSP_FSB Count) + (TSP_KSINK Count) + (TSP_PBOWL Count) + (TSP_WTHR Count) + (TSP_WM) + (TSP_DW Count)</t>
  </si>
  <si>
    <t>= (TSP_WHB Count x 2) +  (TSP_SHR Count x 2) + (TSP_BIB Count x 2) + (TSP_FSB Count x 2) + (TSP_KSINK Count x 2) + (TSP_PBOWL Count x 2) + (TSP_WTHR Count x 2) + (TSP_WM) + (TSP_DW Count)</t>
  </si>
  <si>
    <t>TSP_WTP</t>
  </si>
  <si>
    <t>= TSP_WTP Count</t>
  </si>
  <si>
    <t>TSP_FFB01</t>
  </si>
  <si>
    <t>TSP_DFB01</t>
  </si>
  <si>
    <t>= TSP_FFB01 Count</t>
  </si>
  <si>
    <t>= TSP_DFB01 Count</t>
  </si>
  <si>
    <t>TSP_H2OCON</t>
  </si>
  <si>
    <t>= TSP_H2OCON Count</t>
  </si>
  <si>
    <t>TSP_110SWB</t>
  </si>
  <si>
    <t>= TSP_110SWB Length</t>
  </si>
  <si>
    <t>TSP_PVCSS01</t>
  </si>
  <si>
    <t>TSP_PVCDS01</t>
  </si>
  <si>
    <t>TSP_SGT</t>
  </si>
  <si>
    <t>TSP_110DW</t>
  </si>
  <si>
    <t>= TSP_110DW Count</t>
  </si>
  <si>
    <t>= TSP_PVCSS01 Count</t>
  </si>
  <si>
    <t>= TSP_PVCDS01 Count</t>
  </si>
  <si>
    <t>= TSP_SGT Count</t>
  </si>
  <si>
    <t>= TSP_RE00 Count</t>
  </si>
  <si>
    <t>= TSP_WCCC Count</t>
  </si>
  <si>
    <t>=TSP_WCGC Count</t>
  </si>
  <si>
    <t>=TSP_WHB Count</t>
  </si>
  <si>
    <t>= TSP_SHR Count</t>
  </si>
  <si>
    <t>= TSP_BIB Count</t>
  </si>
  <si>
    <t>= TSP_FSB Count</t>
  </si>
  <si>
    <t>= TSP_KSINK Count</t>
  </si>
  <si>
    <t>= TSP_PBOWL Count</t>
  </si>
  <si>
    <t>= TSP_WTHR Count</t>
  </si>
  <si>
    <t>= TSP_WM Count</t>
  </si>
  <si>
    <t>= TSP_DW Count</t>
  </si>
  <si>
    <t>= TSP_FF Count</t>
  </si>
  <si>
    <t>= TSP_EGEY150F Count</t>
  </si>
  <si>
    <t>= TSP_EGEY250 Count</t>
  </si>
  <si>
    <t>= TSP_EGEY200 Count</t>
  </si>
  <si>
    <t>= TSP_EGEY300 Count</t>
  </si>
  <si>
    <t>= TSP_SGEY150F Count</t>
  </si>
  <si>
    <t>= TSP_SGEY200 Count</t>
  </si>
  <si>
    <t>= TSP_SGEY250 Count</t>
  </si>
  <si>
    <t>= TSP_SGEY300 Count</t>
  </si>
  <si>
    <t>TSP_ELECMDB1</t>
  </si>
  <si>
    <t>TSP_ELECMDB3</t>
  </si>
  <si>
    <t>Main distribution board 3ph</t>
  </si>
  <si>
    <t>= TSP_ELECMDB1 Count</t>
  </si>
  <si>
    <t>= TSP_ELECMDB3 Count</t>
  </si>
  <si>
    <t>Sub DB-3ph</t>
  </si>
  <si>
    <t>TSP_ELECSDB1</t>
  </si>
  <si>
    <t>TSP_ELECSDB3</t>
  </si>
  <si>
    <t>= TSP_ELECSDB3 Count</t>
  </si>
  <si>
    <t>= TSP_ELECSDB1 Count</t>
  </si>
  <si>
    <t>TSP_ELECRB01</t>
  </si>
  <si>
    <t>= TSP_ELECRB01 Count</t>
  </si>
  <si>
    <t>TSP_ELECSOCSNGL</t>
  </si>
  <si>
    <t>TSP_ELECSOCDBL</t>
  </si>
  <si>
    <t>= TSP_ELECSOCDBL Count</t>
  </si>
  <si>
    <t>= TSP_ELECSOCSNGL Count</t>
  </si>
  <si>
    <t>TSP_ELECSOCDBLW</t>
  </si>
  <si>
    <t>= TSP_ELECSOCDBLW Count</t>
  </si>
  <si>
    <t>TSP_ELECSC163</t>
  </si>
  <si>
    <t>TSP_ELECSC164</t>
  </si>
  <si>
    <t>= TSP_ELECSC164 Length</t>
  </si>
  <si>
    <t>= TSP_ELECSC163 Length</t>
  </si>
  <si>
    <t>TSP_ELECSOCSNGLS</t>
  </si>
  <si>
    <t>TSP_ELECSOCSNGLC</t>
  </si>
  <si>
    <t>= TSP_ELECSOCSNGLC Count</t>
  </si>
  <si>
    <t>= TSP_ELECSOCSNGLS Count</t>
  </si>
  <si>
    <t>TSP_ELECEFS</t>
  </si>
  <si>
    <t>= TSP_ELECEFS Count</t>
  </si>
  <si>
    <t>TSP_ELECSOEFP</t>
  </si>
  <si>
    <t>= TSP_ELECSOEFP Count</t>
  </si>
  <si>
    <t>= (TSP_EGEY150F Count) + (TSP_EGEY200 Count) + (TSP_EGEY250 Count) + (TSP_EGEY300 Count) + (TSP_SGEY150F Count) + (TSP_SGEY200 Count) + (TSP_SGEY250 Count) + (TSP_SGEY300 Count)</t>
  </si>
  <si>
    <t>TSP_ELECSHP</t>
  </si>
  <si>
    <t>= TSP_ELECSHP Count</t>
  </si>
  <si>
    <t>TSP_ELECLDV</t>
  </si>
  <si>
    <t>= TSP_ELECLDV Count</t>
  </si>
  <si>
    <t>TSP_ELECLDVSHAN</t>
  </si>
  <si>
    <t>= TSP_ELECLDVSHAN Count</t>
  </si>
  <si>
    <t>TSP_ELEC220SLBFR</t>
  </si>
  <si>
    <t>= TSP_ELEC220SLBFR Count</t>
  </si>
  <si>
    <t>TSP_ELEC220STDCEIL</t>
  </si>
  <si>
    <t>= TSP_ELEC220STDCEIL Count</t>
  </si>
  <si>
    <t>TSP_ELEC220DLSLB</t>
  </si>
  <si>
    <t>= TSP_ELEC220DLSLB Count</t>
  </si>
  <si>
    <t>TSP_ELEC220DLCEIL</t>
  </si>
  <si>
    <t>TSP_ELEC220FLP</t>
  </si>
  <si>
    <t>TSP_ELEC220WLP</t>
  </si>
  <si>
    <t>TSP_ELEC220BLP</t>
  </si>
  <si>
    <t>TSP_ELEC220RFLP</t>
  </si>
  <si>
    <t>TSP_ELEC220GDL</t>
  </si>
  <si>
    <t>TSP_ELEC220LEDLP</t>
  </si>
  <si>
    <t>TSP_ELEC220SUBLP</t>
  </si>
  <si>
    <t>= TSP_ELEC220SUBLP Count</t>
  </si>
  <si>
    <t>= TSP_ELEC220LEDLP Count</t>
  </si>
  <si>
    <t>= TSP_ELEC220GDL Count</t>
  </si>
  <si>
    <t>= TSP_ELEC220RFLP Count</t>
  </si>
  <si>
    <t>= TSP_ELEC220BLP Count</t>
  </si>
  <si>
    <t>= TSP_ELEC220WLP Count</t>
  </si>
  <si>
    <t>= TSP_ELEC220FLP Count</t>
  </si>
  <si>
    <t>= TSP_ELEC220DLCEIL Count</t>
  </si>
  <si>
    <t>TSP_ELEC220GLPL</t>
  </si>
  <si>
    <t>= TSP_ELEC220GLPL Count</t>
  </si>
  <si>
    <t>TSP_ELECLVFLP</t>
  </si>
  <si>
    <t>= TSP_ELECLVFLP Count</t>
  </si>
  <si>
    <t>TSP_ELEC2WS</t>
  </si>
  <si>
    <t>TSP_ELEC3WS</t>
  </si>
  <si>
    <t>TSP_ELEC4WS</t>
  </si>
  <si>
    <t>TSP_ELECDNS</t>
  </si>
  <si>
    <t>= TSP_ELECD Count</t>
  </si>
  <si>
    <t>= TSP_ELEC4WS Count</t>
  </si>
  <si>
    <t>= TSP_ELEC3WS Count</t>
  </si>
  <si>
    <t>= TSP_ELEC2WS Count</t>
  </si>
  <si>
    <t>TSP_ELECDIMS</t>
  </si>
  <si>
    <t>= TSP_ELECDIMS Count</t>
  </si>
  <si>
    <t xml:space="preserve">Ceiling/ Wall fan </t>
  </si>
  <si>
    <t>TSP_ELEC220CFWF</t>
  </si>
  <si>
    <t>= TSP_ELEC220CFWF Count</t>
  </si>
  <si>
    <t>TSP_ELECLEDSLINST</t>
  </si>
  <si>
    <t>= TSP_ELECLEDSLINST Length</t>
  </si>
  <si>
    <t>= TSP_ELECLEDSLINST Length / 15</t>
  </si>
  <si>
    <t>TSP_ELECUFHP</t>
  </si>
  <si>
    <t>TSP_ELECACP918</t>
  </si>
  <si>
    <t>TSP_ELECACP2430</t>
  </si>
  <si>
    <t>TSP_ELECACP3648</t>
  </si>
  <si>
    <t>TSP_ELECACP60</t>
  </si>
  <si>
    <t>TSP_ELECSPSTD</t>
  </si>
  <si>
    <t>= TSP_ELECSPSTD Count</t>
  </si>
  <si>
    <t>= TSP_ELECACP60 Count</t>
  </si>
  <si>
    <t>= TSP_ELECACP3648 Count</t>
  </si>
  <si>
    <t>= TSP_ELECACP2430 Count</t>
  </si>
  <si>
    <t>= TSP_ELECACP918 Count</t>
  </si>
  <si>
    <t>= TSP_ELECUFHP Count</t>
  </si>
  <si>
    <t>TSP_ELECSPJZHOT</t>
  </si>
  <si>
    <t>= TSP_ELECSPJZHOT Count</t>
  </si>
  <si>
    <t>TSP_ELECSAUS</t>
  </si>
  <si>
    <t>= TSP_ELECSAUS Count</t>
  </si>
  <si>
    <t>TSP_ELECSSHR</t>
  </si>
  <si>
    <t>= TSP_ELECSSHR Count</t>
  </si>
  <si>
    <t>TSP_ELECHTR</t>
  </si>
  <si>
    <t>= TSP_ELECHTR Count</t>
  </si>
  <si>
    <t>TSP_ELECBEFPW</t>
  </si>
  <si>
    <t>= TSP_ELECBEFPW Count</t>
  </si>
  <si>
    <t>TSP_ELECBEFPC</t>
  </si>
  <si>
    <t>= TSP_ELECBEFPC Count</t>
  </si>
  <si>
    <t>TSP_ELECABO</t>
  </si>
  <si>
    <t>= TSP_ELECABO Count</t>
  </si>
  <si>
    <t>TSP_ELECSPEAKCEIL</t>
  </si>
  <si>
    <t>= TSP_ELECSPEAKCEIL Count</t>
  </si>
  <si>
    <t>TSP_ELECSPEAKWALL</t>
  </si>
  <si>
    <t>= TSP_ELECSPEAKWALL Count</t>
  </si>
  <si>
    <t>TSP_ELECTELP</t>
  </si>
  <si>
    <t>= TSP_ELECTELP Count</t>
  </si>
  <si>
    <t>TSP_ELECDATP</t>
  </si>
  <si>
    <t>= TSP_ELECDATP Count</t>
  </si>
  <si>
    <t>TSP_ELECTVP</t>
  </si>
  <si>
    <t>= TSP_ELECTVP Count</t>
  </si>
  <si>
    <t>TSP_ELECTVPEC</t>
  </si>
  <si>
    <t>= TSP_ELECTVPEC Count</t>
  </si>
  <si>
    <t>TSP_ELECTELPEC</t>
  </si>
  <si>
    <t>TSP_ELECTELFIBEC</t>
  </si>
  <si>
    <t>= TSP_ELECTELFIBEC Count</t>
  </si>
  <si>
    <t>= TSP_ELECTELPEC Count</t>
  </si>
  <si>
    <t>TSP_ELECSMRTCOMBX</t>
  </si>
  <si>
    <t>= TSP_ELECSMRTCOMBX Count</t>
  </si>
  <si>
    <t>TSP_ELECEGMP</t>
  </si>
  <si>
    <t>= TSP_ELECEGMP Count</t>
  </si>
  <si>
    <t>TSP_ELECEGIP</t>
  </si>
  <si>
    <t>= TSP_ELECEGIP Count</t>
  </si>
  <si>
    <t>TSP_ELECFSTUB</t>
  </si>
  <si>
    <t>= TSP_ELECFSTUB Count</t>
  </si>
  <si>
    <t>TSP_ELECBNE</t>
  </si>
  <si>
    <t>= TSP_ELECBNE Count</t>
  </si>
  <si>
    <t>TSP_ELECCERC</t>
  </si>
  <si>
    <t>= TSP_ELECCERC Count</t>
  </si>
  <si>
    <t>NOTE:  Want to add family for exterior wooden doors and windows and automate the calculations as well.</t>
  </si>
  <si>
    <t>On Structural Steel beams, columns and balustrades</t>
  </si>
  <si>
    <t>NOTE:
1. Concrete strength, Reinforcement Tonnage, Beams, etc to be confirmed by the Structural Engineer.
2. Reasonable allowances has been made.</t>
  </si>
  <si>
    <t>Surface beds 85mm thick (concrete)</t>
  </si>
  <si>
    <t>24m Boom Pump Establishment</t>
  </si>
  <si>
    <t>Various Diameter reinforcement bars (slabs, Beams, etc.) 100kg/m3</t>
  </si>
  <si>
    <t>Crusher stone on flat roofs</t>
  </si>
  <si>
    <t>Two coats Darachem Hypercrete Polyfelt liquid waterproofing with felt membrane</t>
  </si>
  <si>
    <t>Cementitious waterproofing on shower walls</t>
  </si>
  <si>
    <t>Cementitious waterproofing  on shower floors</t>
  </si>
  <si>
    <t>Cementitious Darachem Hypercrete Polyfelt waterproofing as per manufacturers instructions or a similar approved system to receive tiles</t>
  </si>
  <si>
    <t>Cementitious waterproofing on balconies to fall</t>
  </si>
  <si>
    <t>Cementitious waterproofing on turn ups to balconies to fall</t>
  </si>
  <si>
    <t>Cementitious waterproofing by dressing and sealing around pipe not exceeding 100mm external diameter, including additional membrane, gussets, collars, etc</t>
  </si>
  <si>
    <t>Internal Doors and frames as per schedule</t>
  </si>
  <si>
    <t>Polystyrene cornice</t>
  </si>
  <si>
    <t>Cornice as per Architectural specification</t>
  </si>
  <si>
    <t>Screed lite' perlite/cement mix, in strict accordance with manufacturer's requirements, in screeds on concrete</t>
  </si>
  <si>
    <t>WALL TILING (Labour, Adhesive and Grout only)</t>
  </si>
  <si>
    <t>FLOOR TILING (Labour, Adhesive and Grout only)</t>
  </si>
  <si>
    <t>Mosaics on floors (Shower Floors)</t>
  </si>
  <si>
    <t>SUNDRIES Aluminium corner protectors, stair nosing's, expansion joint strips, etc</t>
  </si>
  <si>
    <t>TSP Minimal hand Wash Basin 16201 used - remove others - no sub types - perhaps change to a rectangular one?</t>
  </si>
  <si>
    <t>Electronics Appliances Panasonic Brassil Lave e seca….... Used  -  Rename???</t>
  </si>
  <si>
    <t>Distribution</t>
  </si>
  <si>
    <t>Plugs and Isolators</t>
  </si>
  <si>
    <t>LightPoint-Double Volume</t>
  </si>
  <si>
    <t>LightPoint-Pendant/Chandelier DV</t>
  </si>
  <si>
    <t>Downlighter in Slab</t>
  </si>
  <si>
    <t>Downlighter in Ceiling</t>
  </si>
  <si>
    <t>Braai LightPoint</t>
  </si>
  <si>
    <t>Recessed Floor LightPoint</t>
  </si>
  <si>
    <t>Strip light/ Cable system LightPoint</t>
  </si>
  <si>
    <t>Submersible LightPoint</t>
  </si>
  <si>
    <t>Garden Lights/Pool LIGHTSWITCH</t>
  </si>
  <si>
    <t>= (TSP_ELECLDV Count) + (TSP_ELECLDVSHAN Count) + (TSP_ELEC220SLBFR Count) + (TSP_ELEC220STDCEIL Count) + (TSP_ELEC220DLSLB Count) + (TSP_ELEC220DLCEIL Cout) + (TSP_ELEC220DLCEIL Count) + (TSP_ELEC220DLCEIL Count) + (TSP_ELEC220DLCEIL Count) + (TSP_ELEC220CFWF Count) + (TSP_ELEC220FLP Count) + (TSP_ELEC220WLP Count) + (TSP_ELEC220BLP Count) + (TSP_ELEC220RFLP Count) + (TSP_ELEC220RFLP Count) + (TSP_ELEC220GDL Count) + (TSP_ELEC220LEDLP Count) + (TSP_ELEC220SUBLP Count) + (TSP_ELEC220GLPL Count) + (TSP_ELECLVFLP Count)</t>
  </si>
  <si>
    <t>Sub-Total</t>
  </si>
  <si>
    <t>VAT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</si>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</sst>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43" formatCode="_-* #,##0.00_-;\-* #,##0.00_-;_-* &quot;-&quot;??_-;_-@_-"/>
  </numFmts>
  <fonts count="17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b/>
      <sz val="11"/>
      <name val="Calibri"/>
      <family val="2"/>
    </font>
    <font>
      <sz val="8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vertAlign val="superscript"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u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1"/>
      <color rgb="FF0070C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3" fontId="7" fillId="0" borderId="0" applyFont="0" applyFill="0" applyBorder="0" applyAlignment="0" applyProtection="0"/>
  </cellStyleXfs>
  <cellXfs count="140">
    <xf numFmtId="0" fontId="0" fillId="0" borderId="0" xfId="0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3" borderId="1" xfId="0" applyFill="1" applyBorder="1"/>
    <xf numFmtId="0" fontId="0" fillId="2" borderId="1" xfId="0" applyFill="1" applyBorder="1"/>
    <xf numFmtId="0" fontId="1" fillId="4" borderId="0" xfId="0" applyFont="1" applyFill="1" applyProtection="1">
      <protection locked="0"/>
    </xf>
    <xf numFmtId="0" fontId="0" fillId="4" borderId="0" xfId="0" applyFill="1" applyProtection="1">
      <protection locked="0"/>
    </xf>
    <xf numFmtId="0" fontId="3" fillId="0" borderId="0" xfId="0" applyFont="1"/>
    <xf numFmtId="0" fontId="6" fillId="0" borderId="0" xfId="0" applyFont="1"/>
    <xf numFmtId="1" fontId="8" fillId="7" borderId="4" xfId="0" applyNumberFormat="1" applyFont="1" applyFill="1" applyBorder="1" applyAlignment="1">
      <alignment horizontal="center" vertical="top"/>
    </xf>
    <xf numFmtId="0" fontId="8" fillId="7" borderId="4" xfId="0" applyFont="1" applyFill="1" applyBorder="1" applyAlignment="1">
      <alignment horizontal="center" vertical="top"/>
    </xf>
    <xf numFmtId="49" fontId="8" fillId="7" borderId="4" xfId="0" applyNumberFormat="1" applyFont="1" applyFill="1" applyBorder="1" applyAlignment="1">
      <alignment horizontal="center" vertical="top"/>
    </xf>
    <xf numFmtId="2" fontId="8" fillId="7" borderId="4" xfId="0" applyNumberFormat="1" applyFont="1" applyFill="1" applyBorder="1" applyAlignment="1">
      <alignment horizontal="center" vertical="top"/>
    </xf>
    <xf numFmtId="1" fontId="3" fillId="7" borderId="4" xfId="0" applyNumberFormat="1" applyFont="1" applyFill="1" applyBorder="1" applyAlignment="1">
      <alignment horizontal="center" vertical="top" wrapText="1"/>
    </xf>
    <xf numFmtId="0" fontId="3" fillId="7" borderId="4" xfId="0" applyFont="1" applyFill="1" applyBorder="1" applyAlignment="1">
      <alignment vertical="top" wrapText="1"/>
    </xf>
    <xf numFmtId="2" fontId="3" fillId="7" borderId="4" xfId="0" applyNumberFormat="1" applyFont="1" applyFill="1" applyBorder="1" applyAlignment="1">
      <alignment vertical="top" wrapText="1"/>
    </xf>
    <xf numFmtId="1" fontId="0" fillId="7" borderId="4" xfId="0" applyNumberFormat="1" applyFill="1" applyBorder="1" applyAlignment="1">
      <alignment horizontal="center" vertical="top"/>
    </xf>
    <xf numFmtId="0" fontId="0" fillId="7" borderId="4" xfId="0" applyFill="1" applyBorder="1" applyAlignment="1">
      <alignment vertical="top" wrapText="1"/>
    </xf>
    <xf numFmtId="2" fontId="0" fillId="7" borderId="4" xfId="0" applyNumberFormat="1" applyFill="1" applyBorder="1" applyAlignment="1">
      <alignment vertical="top"/>
    </xf>
    <xf numFmtId="1" fontId="0" fillId="7" borderId="2" xfId="0" applyNumberFormat="1" applyFill="1" applyBorder="1" applyAlignment="1">
      <alignment horizontal="center" vertical="top"/>
    </xf>
    <xf numFmtId="0" fontId="0" fillId="7" borderId="2" xfId="0" applyFill="1" applyBorder="1" applyAlignment="1">
      <alignment vertical="top" wrapText="1"/>
    </xf>
    <xf numFmtId="2" fontId="0" fillId="7" borderId="2" xfId="0" applyNumberFormat="1" applyFill="1" applyBorder="1" applyAlignment="1">
      <alignment vertical="top"/>
    </xf>
    <xf numFmtId="1" fontId="0" fillId="7" borderId="3" xfId="0" applyNumberFormat="1" applyFill="1" applyBorder="1" applyAlignment="1">
      <alignment horizontal="center" vertical="top"/>
    </xf>
    <xf numFmtId="0" fontId="0" fillId="7" borderId="3" xfId="0" applyFill="1" applyBorder="1" applyAlignment="1">
      <alignment vertical="top" wrapText="1"/>
    </xf>
    <xf numFmtId="2" fontId="0" fillId="7" borderId="3" xfId="0" applyNumberFormat="1" applyFill="1" applyBorder="1" applyAlignment="1">
      <alignment vertical="top"/>
    </xf>
    <xf numFmtId="0" fontId="10" fillId="7" borderId="4" xfId="0" applyFont="1" applyFill="1" applyBorder="1" applyAlignment="1">
      <alignment vertical="top" wrapText="1"/>
    </xf>
    <xf numFmtId="1" fontId="0" fillId="7" borderId="4" xfId="0" applyNumberFormat="1" applyFill="1" applyBorder="1" applyAlignment="1">
      <alignment horizontal="center" vertical="top" wrapText="1"/>
    </xf>
    <xf numFmtId="2" fontId="0" fillId="7" borderId="4" xfId="0" applyNumberFormat="1" applyFill="1" applyBorder="1" applyAlignment="1">
      <alignment vertical="top" wrapText="1"/>
    </xf>
    <xf numFmtId="0" fontId="12" fillId="7" borderId="4" xfId="0" applyFont="1" applyFill="1" applyBorder="1" applyAlignment="1">
      <alignment vertical="top" wrapText="1"/>
    </xf>
    <xf numFmtId="1" fontId="0" fillId="7" borderId="4" xfId="1" applyNumberFormat="1" applyFont="1" applyFill="1" applyBorder="1" applyAlignment="1">
      <alignment horizontal="center" vertical="top"/>
    </xf>
    <xf numFmtId="1" fontId="3" fillId="7" borderId="3" xfId="0" applyNumberFormat="1" applyFont="1" applyFill="1" applyBorder="1" applyAlignment="1">
      <alignment horizontal="center" vertical="top" wrapText="1"/>
    </xf>
    <xf numFmtId="0" fontId="3" fillId="7" borderId="3" xfId="0" applyFont="1" applyFill="1" applyBorder="1" applyAlignment="1">
      <alignment vertical="top" wrapText="1"/>
    </xf>
    <xf numFmtId="2" fontId="3" fillId="7" borderId="3" xfId="0" applyNumberFormat="1" applyFont="1" applyFill="1" applyBorder="1" applyAlignment="1">
      <alignment vertical="top" wrapText="1"/>
    </xf>
    <xf numFmtId="1" fontId="14" fillId="8" borderId="3" xfId="0" applyNumberFormat="1" applyFont="1" applyFill="1" applyBorder="1" applyAlignment="1">
      <alignment horizontal="center" vertical="top"/>
    </xf>
    <xf numFmtId="0" fontId="14" fillId="8" borderId="3" xfId="0" applyFont="1" applyFill="1" applyBorder="1" applyAlignment="1">
      <alignment horizontal="center" vertical="top"/>
    </xf>
    <xf numFmtId="49" fontId="14" fillId="8" borderId="3" xfId="0" applyNumberFormat="1" applyFont="1" applyFill="1" applyBorder="1" applyAlignment="1">
      <alignment horizontal="center" vertical="top"/>
    </xf>
    <xf numFmtId="2" fontId="14" fillId="8" borderId="3" xfId="0" applyNumberFormat="1" applyFont="1" applyFill="1" applyBorder="1" applyAlignment="1">
      <alignment horizontal="center" vertical="top"/>
    </xf>
    <xf numFmtId="1" fontId="14" fillId="8" borderId="2" xfId="0" applyNumberFormat="1" applyFont="1" applyFill="1" applyBorder="1" applyAlignment="1">
      <alignment horizontal="center" vertical="top"/>
    </xf>
    <xf numFmtId="0" fontId="14" fillId="8" borderId="2" xfId="0" applyFont="1" applyFill="1" applyBorder="1" applyAlignment="1">
      <alignment horizontal="center" vertical="top"/>
    </xf>
    <xf numFmtId="49" fontId="14" fillId="8" borderId="2" xfId="0" applyNumberFormat="1" applyFont="1" applyFill="1" applyBorder="1" applyAlignment="1">
      <alignment horizontal="center" vertical="top"/>
    </xf>
    <xf numFmtId="2" fontId="14" fillId="8" borderId="2" xfId="0" applyNumberFormat="1" applyFont="1" applyFill="1" applyBorder="1" applyAlignment="1">
      <alignment horizontal="center" vertical="top"/>
    </xf>
    <xf numFmtId="49" fontId="3" fillId="7" borderId="4" xfId="0" applyNumberFormat="1" applyFont="1" applyFill="1" applyBorder="1" applyAlignment="1">
      <alignment horizontal="center" vertical="top" wrapText="1"/>
    </xf>
    <xf numFmtId="49" fontId="0" fillId="7" borderId="4" xfId="0" applyNumberFormat="1" applyFill="1" applyBorder="1" applyAlignment="1">
      <alignment horizontal="center" vertical="top"/>
    </xf>
    <xf numFmtId="49" fontId="0" fillId="7" borderId="2" xfId="0" applyNumberFormat="1" applyFill="1" applyBorder="1" applyAlignment="1">
      <alignment horizontal="center" vertical="top"/>
    </xf>
    <xf numFmtId="49" fontId="3" fillId="7" borderId="3" xfId="0" applyNumberFormat="1" applyFont="1" applyFill="1" applyBorder="1" applyAlignment="1">
      <alignment horizontal="center" vertical="top" wrapText="1"/>
    </xf>
    <xf numFmtId="49" fontId="0" fillId="7" borderId="3" xfId="0" applyNumberFormat="1" applyFill="1" applyBorder="1" applyAlignment="1">
      <alignment horizontal="center" vertical="top"/>
    </xf>
    <xf numFmtId="49" fontId="0" fillId="7" borderId="4" xfId="0" applyNumberFormat="1" applyFill="1" applyBorder="1" applyAlignment="1">
      <alignment horizontal="center" vertical="top" wrapText="1"/>
    </xf>
    <xf numFmtId="0" fontId="4" fillId="0" borderId="2" xfId="0" applyFont="1" applyBorder="1" applyAlignment="1" applyProtection="1">
      <alignment horizontal="center" vertical="top"/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6" xfId="0" applyBorder="1" applyProtection="1">
      <protection hidden="1"/>
    </xf>
    <xf numFmtId="0" fontId="0" fillId="0" borderId="0" xfId="0" applyProtection="1">
      <protection locked="0" hidden="1"/>
    </xf>
    <xf numFmtId="0" fontId="0" fillId="6" borderId="6" xfId="0" applyFill="1" applyBorder="1" applyProtection="1">
      <protection hidden="1"/>
    </xf>
    <xf numFmtId="0" fontId="0" fillId="0" borderId="7" xfId="0" applyBorder="1" applyAlignment="1" applyProtection="1">
      <alignment horizontal="center"/>
      <protection hidden="1"/>
    </xf>
    <xf numFmtId="0" fontId="0" fillId="6" borderId="5" xfId="0" applyFill="1" applyBorder="1" applyProtection="1">
      <protection hidden="1"/>
    </xf>
    <xf numFmtId="0" fontId="0" fillId="0" borderId="5" xfId="0" applyBorder="1" applyProtection="1">
      <protection hidden="1"/>
    </xf>
    <xf numFmtId="0" fontId="0" fillId="0" borderId="0" xfId="0" applyAlignment="1" applyProtection="1">
      <alignment horizontal="center"/>
      <protection locked="0" hidden="1"/>
    </xf>
    <xf numFmtId="0" fontId="1" fillId="7" borderId="4" xfId="0" applyFont="1" applyFill="1" applyBorder="1" applyAlignment="1">
      <alignment vertical="top" wrapText="1"/>
    </xf>
    <xf numFmtId="0" fontId="1" fillId="5" borderId="13" xfId="0" quotePrefix="1" applyFont="1" applyFill="1" applyBorder="1" applyAlignment="1" applyProtection="1">
      <alignment vertical="top" wrapText="1"/>
      <protection locked="0"/>
    </xf>
    <xf numFmtId="0" fontId="0" fillId="0" borderId="0" xfId="0" applyAlignment="1" applyProtection="1">
      <alignment vertical="top"/>
      <protection locked="0"/>
    </xf>
    <xf numFmtId="0" fontId="0" fillId="3" borderId="1" xfId="0" applyFill="1" applyBorder="1" applyAlignment="1">
      <alignment vertical="top"/>
    </xf>
    <xf numFmtId="0" fontId="0" fillId="2" borderId="1" xfId="0" applyFill="1" applyBorder="1" applyAlignment="1">
      <alignment vertical="top"/>
    </xf>
    <xf numFmtId="0" fontId="15" fillId="8" borderId="3" xfId="0" applyFont="1" applyFill="1" applyBorder="1" applyAlignment="1" applyProtection="1">
      <alignment vertical="top"/>
      <protection locked="0"/>
    </xf>
    <xf numFmtId="0" fontId="15" fillId="8" borderId="9" xfId="0" applyFont="1" applyFill="1" applyBorder="1" applyAlignment="1" applyProtection="1">
      <alignment vertical="top"/>
      <protection locked="0"/>
    </xf>
    <xf numFmtId="0" fontId="15" fillId="8" borderId="10" xfId="0" applyFont="1" applyFill="1" applyBorder="1" applyAlignment="1" applyProtection="1">
      <alignment vertical="top"/>
      <protection locked="0"/>
    </xf>
    <xf numFmtId="0" fontId="14" fillId="8" borderId="2" xfId="0" applyFont="1" applyFill="1" applyBorder="1" applyAlignment="1" applyProtection="1">
      <alignment horizontal="center" vertical="top"/>
      <protection locked="0"/>
    </xf>
    <xf numFmtId="0" fontId="15" fillId="8" borderId="11" xfId="0" applyFont="1" applyFill="1" applyBorder="1" applyAlignment="1" applyProtection="1">
      <alignment vertical="top"/>
      <protection locked="0"/>
    </xf>
    <xf numFmtId="0" fontId="15" fillId="8" borderId="2" xfId="0" applyFont="1" applyFill="1" applyBorder="1" applyAlignment="1" applyProtection="1">
      <alignment vertical="top"/>
      <protection locked="0"/>
    </xf>
    <xf numFmtId="0" fontId="15" fillId="8" borderId="12" xfId="0" applyFont="1" applyFill="1" applyBorder="1" applyAlignment="1" applyProtection="1">
      <alignment vertical="top"/>
      <protection locked="0"/>
    </xf>
    <xf numFmtId="0" fontId="0" fillId="7" borderId="4" xfId="0" applyFill="1" applyBorder="1" applyAlignment="1" applyProtection="1">
      <alignment horizontal="center" vertical="top"/>
      <protection locked="0"/>
    </xf>
    <xf numFmtId="0" fontId="0" fillId="7" borderId="0" xfId="0" applyFill="1" applyAlignment="1" applyProtection="1">
      <alignment vertical="top"/>
      <protection locked="0"/>
    </xf>
    <xf numFmtId="0" fontId="0" fillId="7" borderId="4" xfId="0" applyFill="1" applyBorder="1" applyAlignment="1" applyProtection="1">
      <alignment vertical="top"/>
      <protection locked="0"/>
    </xf>
    <xf numFmtId="0" fontId="0" fillId="7" borderId="13" xfId="0" applyFill="1" applyBorder="1" applyAlignment="1" applyProtection="1">
      <alignment vertical="top"/>
      <protection locked="0"/>
    </xf>
    <xf numFmtId="0" fontId="0" fillId="7" borderId="2" xfId="0" applyFill="1" applyBorder="1" applyAlignment="1" applyProtection="1">
      <alignment horizontal="center" vertical="top"/>
      <protection locked="0"/>
    </xf>
    <xf numFmtId="0" fontId="0" fillId="7" borderId="14" xfId="0" applyFill="1" applyBorder="1" applyAlignment="1" applyProtection="1">
      <alignment vertical="top"/>
      <protection locked="0"/>
    </xf>
    <xf numFmtId="0" fontId="0" fillId="7" borderId="2" xfId="0" applyFill="1" applyBorder="1" applyAlignment="1" applyProtection="1">
      <alignment vertical="top"/>
      <protection locked="0"/>
    </xf>
    <xf numFmtId="0" fontId="0" fillId="7" borderId="12" xfId="0" applyFill="1" applyBorder="1" applyAlignment="1" applyProtection="1">
      <alignment vertical="top"/>
      <protection locked="0"/>
    </xf>
    <xf numFmtId="0" fontId="0" fillId="7" borderId="3" xfId="0" applyFill="1" applyBorder="1" applyAlignment="1" applyProtection="1">
      <alignment horizontal="center" vertical="top"/>
      <protection locked="0"/>
    </xf>
    <xf numFmtId="0" fontId="0" fillId="7" borderId="8" xfId="0" applyFill="1" applyBorder="1" applyAlignment="1" applyProtection="1">
      <alignment vertical="top"/>
      <protection locked="0"/>
    </xf>
    <xf numFmtId="0" fontId="0" fillId="7" borderId="3" xfId="0" applyFill="1" applyBorder="1" applyAlignment="1" applyProtection="1">
      <alignment vertical="top"/>
      <protection locked="0"/>
    </xf>
    <xf numFmtId="0" fontId="0" fillId="7" borderId="10" xfId="0" applyFill="1" applyBorder="1" applyAlignment="1" applyProtection="1">
      <alignment vertical="top"/>
      <protection locked="0"/>
    </xf>
    <xf numFmtId="0" fontId="0" fillId="7" borderId="13" xfId="0" quotePrefix="1" applyFill="1" applyBorder="1" applyAlignment="1" applyProtection="1">
      <alignment vertical="top"/>
      <protection locked="0"/>
    </xf>
    <xf numFmtId="0" fontId="1" fillId="5" borderId="4" xfId="0" applyFont="1" applyFill="1" applyBorder="1" applyAlignment="1" applyProtection="1">
      <alignment horizontal="center" vertical="top"/>
      <protection locked="0"/>
    </xf>
    <xf numFmtId="0" fontId="1" fillId="5" borderId="0" xfId="0" applyFont="1" applyFill="1" applyAlignment="1" applyProtection="1">
      <alignment vertical="top"/>
      <protection locked="0"/>
    </xf>
    <xf numFmtId="0" fontId="1" fillId="5" borderId="4" xfId="0" applyFont="1" applyFill="1" applyBorder="1" applyAlignment="1" applyProtection="1">
      <alignment vertical="top"/>
      <protection locked="0"/>
    </xf>
    <xf numFmtId="0" fontId="1" fillId="5" borderId="13" xfId="0" quotePrefix="1" applyFont="1" applyFill="1" applyBorder="1" applyAlignment="1" applyProtection="1">
      <alignment vertical="top"/>
      <protection locked="0"/>
    </xf>
    <xf numFmtId="0" fontId="1" fillId="7" borderId="4" xfId="0" applyFont="1" applyFill="1" applyBorder="1" applyAlignment="1" applyProtection="1">
      <alignment horizontal="center" vertical="top"/>
      <protection locked="0"/>
    </xf>
    <xf numFmtId="0" fontId="1" fillId="7" borderId="0" xfId="0" applyFont="1" applyFill="1" applyAlignment="1" applyProtection="1">
      <alignment vertical="top"/>
      <protection locked="0"/>
    </xf>
    <xf numFmtId="0" fontId="1" fillId="7" borderId="4" xfId="0" applyFont="1" applyFill="1" applyBorder="1" applyAlignment="1" applyProtection="1">
      <alignment vertical="top"/>
      <protection locked="0"/>
    </xf>
    <xf numFmtId="0" fontId="1" fillId="7" borderId="13" xfId="0" quotePrefix="1" applyFont="1" applyFill="1" applyBorder="1" applyAlignment="1" applyProtection="1">
      <alignment vertical="top"/>
      <protection locked="0"/>
    </xf>
    <xf numFmtId="0" fontId="11" fillId="5" borderId="0" xfId="0" applyFont="1" applyFill="1" applyAlignment="1" applyProtection="1">
      <alignment vertical="top"/>
      <protection locked="0"/>
    </xf>
    <xf numFmtId="0" fontId="1" fillId="5" borderId="13" xfId="0" applyFont="1" applyFill="1" applyBorder="1" applyAlignment="1" applyProtection="1">
      <alignment vertical="top"/>
      <protection locked="0"/>
    </xf>
    <xf numFmtId="0" fontId="11" fillId="7" borderId="4" xfId="0" applyFont="1" applyFill="1" applyBorder="1" applyAlignment="1" applyProtection="1">
      <alignment vertical="top"/>
      <protection locked="0"/>
    </xf>
    <xf numFmtId="0" fontId="3" fillId="7" borderId="0" xfId="0" applyFont="1" applyFill="1" applyAlignment="1" applyProtection="1">
      <alignment vertical="top"/>
      <protection locked="0"/>
    </xf>
    <xf numFmtId="0" fontId="11" fillId="7" borderId="13" xfId="0" quotePrefix="1" applyFont="1" applyFill="1" applyBorder="1" applyAlignment="1" applyProtection="1">
      <alignment vertical="top"/>
      <protection locked="0"/>
    </xf>
    <xf numFmtId="0" fontId="16" fillId="7" borderId="13" xfId="0" applyFont="1" applyFill="1" applyBorder="1" applyAlignment="1" applyProtection="1">
      <alignment vertical="top"/>
      <protection locked="0"/>
    </xf>
    <xf numFmtId="0" fontId="13" fillId="7" borderId="0" xfId="0" applyFont="1" applyFill="1" applyAlignment="1" applyProtection="1">
      <alignment vertical="top"/>
      <protection locked="0"/>
    </xf>
    <xf numFmtId="0" fontId="0" fillId="7" borderId="12" xfId="0" quotePrefix="1" applyFill="1" applyBorder="1" applyAlignment="1" applyProtection="1">
      <alignment vertical="top"/>
      <protection locked="0"/>
    </xf>
    <xf numFmtId="0" fontId="0" fillId="7" borderId="13" xfId="0" quotePrefix="1" applyFill="1" applyBorder="1" applyAlignment="1" applyProtection="1">
      <alignment vertical="top" wrapText="1"/>
      <protection locked="0"/>
    </xf>
    <xf numFmtId="1" fontId="0" fillId="9" borderId="4" xfId="0" applyNumberFormat="1" applyFill="1" applyBorder="1" applyAlignment="1">
      <alignment horizontal="center" vertical="top"/>
    </xf>
    <xf numFmtId="0" fontId="0" fillId="9" borderId="4" xfId="0" applyFill="1" applyBorder="1" applyAlignment="1">
      <alignment vertical="top" wrapText="1"/>
    </xf>
    <xf numFmtId="49" fontId="0" fillId="9" borderId="4" xfId="0" applyNumberFormat="1" applyFill="1" applyBorder="1" applyAlignment="1">
      <alignment horizontal="center" vertical="top"/>
    </xf>
    <xf numFmtId="2" fontId="0" fillId="9" borderId="4" xfId="0" applyNumberFormat="1" applyFill="1" applyBorder="1" applyAlignment="1">
      <alignment vertical="top"/>
    </xf>
    <xf numFmtId="0" fontId="0" fillId="9" borderId="4" xfId="0" applyFill="1" applyBorder="1" applyAlignment="1" applyProtection="1">
      <alignment horizontal="center" vertical="top"/>
      <protection locked="0"/>
    </xf>
    <xf numFmtId="0" fontId="11" fillId="9" borderId="0" xfId="0" applyFont="1" applyFill="1" applyAlignment="1" applyProtection="1">
      <alignment vertical="top"/>
      <protection locked="0"/>
    </xf>
    <xf numFmtId="0" fontId="11" fillId="9" borderId="4" xfId="0" applyFont="1" applyFill="1" applyBorder="1" applyAlignment="1" applyProtection="1">
      <alignment vertical="top"/>
      <protection locked="0"/>
    </xf>
    <xf numFmtId="0" fontId="1" fillId="9" borderId="13" xfId="0" quotePrefix="1" applyFont="1" applyFill="1" applyBorder="1" applyAlignment="1" applyProtection="1">
      <alignment vertical="top"/>
      <protection locked="0"/>
    </xf>
    <xf numFmtId="0" fontId="10" fillId="9" borderId="4" xfId="0" applyFont="1" applyFill="1" applyBorder="1" applyAlignment="1">
      <alignment vertical="top" wrapText="1"/>
    </xf>
    <xf numFmtId="0" fontId="1" fillId="7" borderId="13" xfId="0" applyFont="1" applyFill="1" applyBorder="1" applyAlignment="1" applyProtection="1">
      <alignment vertical="top"/>
      <protection locked="0"/>
    </xf>
    <xf numFmtId="0" fontId="0" fillId="9" borderId="0" xfId="0" applyFill="1" applyAlignment="1" applyProtection="1">
      <alignment vertical="top"/>
      <protection locked="0"/>
    </xf>
    <xf numFmtId="0" fontId="1" fillId="9" borderId="4" xfId="0" applyFont="1" applyFill="1" applyBorder="1" applyAlignment="1" applyProtection="1">
      <alignment vertical="top"/>
      <protection locked="0"/>
    </xf>
    <xf numFmtId="0" fontId="3" fillId="9" borderId="0" xfId="0" applyFont="1" applyFill="1" applyAlignment="1" applyProtection="1">
      <alignment vertical="top"/>
      <protection locked="0"/>
    </xf>
    <xf numFmtId="0" fontId="1" fillId="9" borderId="0" xfId="0" applyFont="1" applyFill="1" applyAlignment="1" applyProtection="1">
      <alignment vertical="top"/>
      <protection locked="0"/>
    </xf>
    <xf numFmtId="1" fontId="0" fillId="10" borderId="4" xfId="0" applyNumberFormat="1" applyFill="1" applyBorder="1" applyAlignment="1">
      <alignment horizontal="center" vertical="top"/>
    </xf>
    <xf numFmtId="0" fontId="0" fillId="10" borderId="4" xfId="0" applyFill="1" applyBorder="1" applyAlignment="1">
      <alignment vertical="top" wrapText="1"/>
    </xf>
    <xf numFmtId="49" fontId="0" fillId="10" borderId="4" xfId="0" applyNumberFormat="1" applyFill="1" applyBorder="1" applyAlignment="1">
      <alignment horizontal="center" vertical="top"/>
    </xf>
    <xf numFmtId="2" fontId="0" fillId="10" borderId="4" xfId="0" applyNumberFormat="1" applyFill="1" applyBorder="1" applyAlignment="1">
      <alignment vertical="top"/>
    </xf>
    <xf numFmtId="0" fontId="0" fillId="10" borderId="4" xfId="0" applyFill="1" applyBorder="1" applyAlignment="1" applyProtection="1">
      <alignment horizontal="center" vertical="top"/>
      <protection locked="0"/>
    </xf>
    <xf numFmtId="0" fontId="1" fillId="10" borderId="0" xfId="0" applyFont="1" applyFill="1" applyAlignment="1" applyProtection="1">
      <alignment vertical="top"/>
      <protection locked="0"/>
    </xf>
    <xf numFmtId="0" fontId="1" fillId="10" borderId="4" xfId="0" applyFont="1" applyFill="1" applyBorder="1" applyAlignment="1" applyProtection="1">
      <alignment vertical="top"/>
      <protection locked="0"/>
    </xf>
    <xf numFmtId="0" fontId="1" fillId="10" borderId="13" xfId="0" quotePrefix="1" applyFont="1" applyFill="1" applyBorder="1" applyAlignment="1" applyProtection="1">
      <alignment vertical="top"/>
      <protection locked="0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top"/>
    </xf>
    <xf numFmtId="44" fontId="0" fillId="0" borderId="0" xfId="0" applyNumberFormat="1" applyAlignment="1" applyProtection="1">
      <alignment vertical="top"/>
      <protection locked="0"/>
    </xf>
    <xf numFmtId="44" fontId="15" fillId="8" borderId="3" xfId="0" applyNumberFormat="1" applyFont="1" applyFill="1" applyBorder="1" applyAlignment="1" applyProtection="1">
      <alignment vertical="top"/>
      <protection locked="0"/>
    </xf>
    <xf numFmtId="44" fontId="15" fillId="8" borderId="2" xfId="0" applyNumberFormat="1" applyFont="1" applyFill="1" applyBorder="1" applyAlignment="1" applyProtection="1">
      <alignment vertical="top"/>
      <protection locked="0"/>
    </xf>
    <xf numFmtId="44" fontId="0" fillId="7" borderId="4" xfId="0" applyNumberFormat="1" applyFill="1" applyBorder="1" applyAlignment="1" applyProtection="1">
      <alignment vertical="top"/>
      <protection locked="0"/>
    </xf>
    <xf numFmtId="44" fontId="0" fillId="7" borderId="2" xfId="0" applyNumberFormat="1" applyFill="1" applyBorder="1" applyAlignment="1" applyProtection="1">
      <alignment vertical="top"/>
      <protection locked="0"/>
    </xf>
    <xf numFmtId="44" fontId="0" fillId="7" borderId="3" xfId="0" applyNumberFormat="1" applyFill="1" applyBorder="1" applyAlignment="1" applyProtection="1">
      <alignment vertical="top"/>
      <protection locked="0"/>
    </xf>
    <xf numFmtId="44" fontId="1" fillId="7" borderId="4" xfId="0" applyNumberFormat="1" applyFont="1" applyFill="1" applyBorder="1" applyAlignment="1" applyProtection="1">
      <alignment vertical="top"/>
      <protection locked="0"/>
    </xf>
    <xf numFmtId="44" fontId="11" fillId="9" borderId="4" xfId="0" applyNumberFormat="1" applyFont="1" applyFill="1" applyBorder="1" applyAlignment="1" applyProtection="1">
      <alignment vertical="top"/>
      <protection locked="0"/>
    </xf>
    <xf numFmtId="44" fontId="11" fillId="7" borderId="4" xfId="0" applyNumberFormat="1" applyFont="1" applyFill="1" applyBorder="1" applyAlignment="1" applyProtection="1">
      <alignment vertical="top"/>
      <protection locked="0"/>
    </xf>
    <xf numFmtId="44" fontId="1" fillId="9" borderId="4" xfId="0" applyNumberFormat="1" applyFont="1" applyFill="1" applyBorder="1" applyAlignment="1" applyProtection="1">
      <alignment vertical="top"/>
      <protection locked="0"/>
    </xf>
    <xf numFmtId="44" fontId="1" fillId="5" borderId="4" xfId="0" applyNumberFormat="1" applyFont="1" applyFill="1" applyBorder="1" applyAlignment="1" applyProtection="1">
      <alignment vertical="top"/>
      <protection locked="0"/>
    </xf>
    <xf numFmtId="44" fontId="1" fillId="10" borderId="4" xfId="0" applyNumberFormat="1" applyFont="1" applyFill="1" applyBorder="1" applyAlignment="1" applyProtection="1">
      <alignment vertical="top"/>
      <protection locked="0"/>
    </xf>
    <xf numFmtId="0" fontId="11" fillId="7" borderId="0" xfId="0" applyFont="1" applyFill="1" applyAlignment="1" applyProtection="1">
      <alignment vertical="top"/>
      <protection locked="0"/>
    </xf>
    <xf numFmtId="44" fontId="3" fillId="0" borderId="0" xfId="0" applyNumberFormat="1" applyFont="1" applyAlignment="1" applyProtection="1">
      <alignment vertical="top"/>
      <protection locked="0"/>
    </xf>
    <xf numFmtId="44" fontId="3" fillId="0" borderId="0" xfId="0" applyNumberFormat="1" applyFont="1" applyAlignment="1" applyProtection="1">
      <alignment horizontal="right" vertical="top"/>
      <protection locked="0"/>
    </xf>
    <xf numFmtId="44" fontId="0" fillId="0" borderId="0" xfId="0" applyNumberFormat="1" applyAlignment="1" applyProtection="1">
      <alignment horizontal="right" vertical="top"/>
      <protection locked="0"/>
    </xf>
    <xf numFmtId="44" fontId="3" fillId="0" borderId="15" xfId="0" applyNumberFormat="1" applyFont="1" applyBorder="1" applyAlignment="1" applyProtection="1">
      <alignment vertical="top"/>
      <protection locked="0"/>
    </xf>
  </cellXfs>
  <cellStyles count="2">
    <cellStyle name="Comma" xfId="1" builtinId="3"/>
    <cellStyle name="Normal" xfId="0" builtinId="0"/>
  </cellStyles>
  <dxfs count="9">
    <dxf>
      <alignment horizontal="center" vertical="bottom" textRotation="0" wrapText="0" indent="0" justifyLastLine="0" shrinkToFit="0" readingOrder="0"/>
      <protection hidden="1"/>
    </dxf>
    <dxf>
      <protection hidden="1"/>
    </dxf>
    <dxf>
      <alignment horizontal="center" vertical="bottom" textRotation="0" wrapText="0" indent="0" justifyLastLine="0" shrinkToFit="0" readingOrder="0"/>
      <protection hidden="1"/>
    </dxf>
    <dxf>
      <protection hidden="1"/>
    </dxf>
    <dxf>
      <protection hidden="1"/>
    </dxf>
    <dxf>
      <border outline="0">
        <top style="thin">
          <color indexed="64"/>
        </top>
      </border>
    </dxf>
    <dxf>
      <protection hidden="1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hidden="1"/>
    </dxf>
  </dxfs>
  <tableStyles count="0" defaultTableStyle="TableStyleMedium2" defaultPivotStyle="PivotStyleLight16"/>
  <colors>
    <mruColors>
      <color rgb="FF690769"/>
      <color rgb="FFF028F0"/>
      <color rgb="FFE27EDB"/>
      <color rgb="FF3E848E"/>
      <color rgb="FFF346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85724</xdr:rowOff>
    </xdr:from>
    <xdr:to>
      <xdr:col>1</xdr:col>
      <xdr:colOff>1162049</xdr:colOff>
      <xdr:row>0</xdr:row>
      <xdr:rowOff>1130633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5C9371-4479-A432-40AF-E112E57C0E7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1052" b="14035"/>
        <a:stretch>
          <a:fillRect/>
        </a:stretch>
      </xdr:blipFill>
      <xdr:spPr bwMode="auto">
        <a:xfrm>
          <a:off x="761999" y="85724"/>
          <a:ext cx="1609725" cy="1044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885825</xdr:colOff>
      <xdr:row>0</xdr:row>
      <xdr:rowOff>95250</xdr:rowOff>
    </xdr:from>
    <xdr:to>
      <xdr:col>1</xdr:col>
      <xdr:colOff>771525</xdr:colOff>
      <xdr:row>0</xdr:row>
      <xdr:rowOff>1190625</xdr:rowOff>
    </xdr:to>
    <xdr:pic>
      <xdr:nvPicPr>
        <xdr:cNvPr id="2" name="ClientLogoPanel">
          <a:extLst>
            <a:ext uri="{FF2B5EF4-FFF2-40B4-BE49-F238E27FC236}">
              <a16:creationId xmlns:a16="http://schemas.microsoft.com/office/drawing/2014/main" id="{638B03CB-A9F5-45F7-8D38-CDAB85513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5" y="95250"/>
          <a:ext cx="1095375" cy="10953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885825</xdr:colOff>
      <xdr:row>0</xdr:row>
      <xdr:rowOff>95250</xdr:rowOff>
    </xdr:from>
    <xdr:to>
      <xdr:col>1</xdr:col>
      <xdr:colOff>771525</xdr:colOff>
      <xdr:row>0</xdr:row>
      <xdr:rowOff>1190625</xdr:rowOff>
    </xdr:to>
    <xdr:pic>
      <xdr:nvPicPr>
        <xdr:cNvPr id="2" name="ClientLogoPanel">
          <a:extLst>
            <a:ext uri="{FF2B5EF4-FFF2-40B4-BE49-F238E27FC236}">
              <a16:creationId xmlns:a16="http://schemas.microsoft.com/office/drawing/2014/main" id="{C276F537-FABF-4145-AB91-BA5B3AA1C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5" y="95250"/>
          <a:ext cx="1095375" cy="10953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15903</xdr:colOff>
          <xdr:row>15</xdr:row>
          <xdr:rowOff>63610</xdr:rowOff>
        </xdr:from>
        <xdr:to>
          <xdr:col>6</xdr:col>
          <xdr:colOff>31805</xdr:colOff>
          <xdr:row>17</xdr:row>
          <xdr:rowOff>15903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Aptos Narrow"/>
                </a:rPr>
                <a:t>ADMIN LOGIN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612250</xdr:colOff>
          <xdr:row>17</xdr:row>
          <xdr:rowOff>143123</xdr:rowOff>
        </xdr:from>
        <xdr:to>
          <xdr:col>6</xdr:col>
          <xdr:colOff>31805</xdr:colOff>
          <xdr:row>19</xdr:row>
          <xdr:rowOff>63610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Aptos Narrow"/>
                </a:rPr>
                <a:t>HIDE &amp; 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47708</xdr:colOff>
          <xdr:row>0</xdr:row>
          <xdr:rowOff>270344</xdr:rowOff>
        </xdr:from>
        <xdr:to>
          <xdr:col>6</xdr:col>
          <xdr:colOff>55659</xdr:colOff>
          <xdr:row>0</xdr:row>
          <xdr:rowOff>675861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REVIT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47708</xdr:colOff>
          <xdr:row>0</xdr:row>
          <xdr:rowOff>787179</xdr:rowOff>
        </xdr:from>
        <xdr:to>
          <xdr:col>6</xdr:col>
          <xdr:colOff>63610</xdr:colOff>
          <xdr:row>0</xdr:row>
          <xdr:rowOff>1232452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39757</xdr:colOff>
          <xdr:row>1</xdr:row>
          <xdr:rowOff>95416</xdr:rowOff>
        </xdr:from>
        <xdr:to>
          <xdr:col>6</xdr:col>
          <xdr:colOff>55659</xdr:colOff>
          <xdr:row>3</xdr:row>
          <xdr:rowOff>95416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Aptos Narrow"/>
                </a:rPr>
                <a:t>FIND VALUE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885825</xdr:colOff>
      <xdr:row>0</xdr:row>
      <xdr:rowOff>95250</xdr:rowOff>
    </xdr:from>
    <xdr:to>
      <xdr:col>3</xdr:col>
      <xdr:colOff>771525</xdr:colOff>
      <xdr:row>0</xdr:row>
      <xdr:rowOff>1190625</xdr:rowOff>
    </xdr:to>
    <xdr:pic>
      <xdr:nvPicPr>
        <xdr:cNvPr id="2" name="ClientLogoPanel">
          <a:extLst>
            <a:ext uri="{FF2B5EF4-FFF2-40B4-BE49-F238E27FC236}">
              <a16:creationId xmlns:a16="http://schemas.microsoft.com/office/drawing/2014/main" id="{D8284C3A-FDB7-49F1-94B6-B56671FC61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5" y="95250"/>
          <a:ext cx="1095375" cy="109537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D00E32A-458D-4DDF-8263-FC35275B5329}" name="tblBOQCodes" displayName="tblBOQCodes" ref="A1:E14" totalsRowShown="0" headerRowDxfId="8" dataDxfId="6" headerRowBorderDxfId="7" tableBorderDxfId="5">
  <autoFilter ref="A1:E14" xr:uid="{5D00E32A-458D-4DDF-8263-FC35275B5329}"/>
  <tableColumns count="5">
    <tableColumn id="1" xr3:uid="{3134C2EC-280B-491A-A172-1F4E428BF0CE}" name="TSP_Code" dataDxfId="4"/>
    <tableColumn id="2" xr3:uid="{F47B507A-F427-4261-B8BD-A4306504C050}" name="Bill Sheet" dataDxfId="3"/>
    <tableColumn id="3" xr3:uid="{9C09C35D-AE6F-420B-9B8A-2C30AAE4A47B}" name="Bill Row" dataDxfId="2"/>
    <tableColumn id="4" xr3:uid="{E43A44F8-7C33-4494-9F5C-FD5A294B5D4A}" name="Description" dataDxfId="1"/>
    <tableColumn id="5" xr3:uid="{38CD11C6-3C38-4CB8-898B-68EAC90495F7}" name="Uni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636A-271C-4933-8949-50F863F438EE}">
  <sheetPr codeName="Sheet1">
    <tabColor theme="0" tint="-0.499984740745262"/>
  </sheetPr>
  <dimension ref="A1:B2197"/>
  <sheetViews>
    <sheetView topLeftCell="A10" workbookViewId="0">
      <selection activeCell="N24" sqref="N24"/>
    </sheetView>
  </sheetViews>
  <sheetFormatPr defaultRowHeight="15.05" x14ac:dyDescent="0.3"/>
  <cols>
    <col min="1" max="1" width="18.109375" customWidth="1"/>
    <col min="2" max="2" width="27.33203125" customWidth="1"/>
  </cols>
  <sheetData>
    <row r="1" spans="1:2" ht="98.3" customHeight="1" x14ac:dyDescent="0.3">
      <c r="A1" s="121"/>
      <c r="B1" s="121"/>
    </row>
    <row r="2" spans="1:2" ht="20.05" customHeight="1" x14ac:dyDescent="0.3">
      <c r="A2" s="3" t="s">
        <v>0</v>
      </c>
      <c r="B2" s="2"/>
    </row>
    <row r="3" spans="1:2" ht="20.05" customHeight="1" x14ac:dyDescent="0.3">
      <c r="A3" s="3" t="s">
        <v>1</v>
      </c>
      <c r="B3" s="2"/>
    </row>
    <row r="4" spans="1:2" ht="20.05" customHeight="1" x14ac:dyDescent="0.3">
      <c r="A4" s="3" t="s">
        <v>2</v>
      </c>
      <c r="B4" s="2"/>
    </row>
    <row r="5" spans="1:2" ht="20.05" customHeight="1" x14ac:dyDescent="0.3">
      <c r="A5" s="3" t="s">
        <v>3</v>
      </c>
      <c r="B5" s="2"/>
    </row>
    <row r="6" spans="1:2" ht="20.05" customHeight="1" x14ac:dyDescent="0.3">
      <c r="A6" s="3" t="s">
        <v>4</v>
      </c>
      <c r="B6" s="2"/>
    </row>
    <row r="7" spans="1:2" ht="20.05" customHeight="1" x14ac:dyDescent="0.3">
      <c r="A7" s="3" t="s">
        <v>5</v>
      </c>
      <c r="B7" s="2"/>
    </row>
    <row r="8" spans="1:2" ht="20.05" customHeight="1" x14ac:dyDescent="0.3">
      <c r="A8" s="3" t="s">
        <v>6</v>
      </c>
      <c r="B8" s="2"/>
    </row>
    <row r="9" spans="1:2" ht="20.05" customHeight="1" x14ac:dyDescent="0.3">
      <c r="A9" s="3" t="s">
        <v>7</v>
      </c>
      <c r="B9" s="2"/>
    </row>
    <row r="10" spans="1:2" ht="20.05" customHeight="1" x14ac:dyDescent="0.3">
      <c r="A10" s="3" t="s">
        <v>8</v>
      </c>
      <c r="B10" s="2"/>
    </row>
    <row r="11" spans="1:2" ht="20.05" customHeight="1" x14ac:dyDescent="0.3"/>
    <row r="12" spans="1:2" ht="20.05" customHeight="1" x14ac:dyDescent="0.3"/>
    <row r="13" spans="1:2" ht="20.05" customHeight="1" x14ac:dyDescent="0.3"/>
    <row r="14" spans="1:2" ht="20.05" customHeight="1" x14ac:dyDescent="0.3"/>
    <row r="15" spans="1:2" ht="20.05" customHeight="1" x14ac:dyDescent="0.3"/>
    <row r="16" spans="1:2" ht="20.05" customHeight="1" x14ac:dyDescent="0.3"/>
    <row r="17" ht="20.05" customHeight="1" x14ac:dyDescent="0.3"/>
    <row r="18" ht="20.05" customHeight="1" x14ac:dyDescent="0.3"/>
    <row r="19" ht="20.05" customHeight="1" x14ac:dyDescent="0.3"/>
    <row r="20" ht="20.05" customHeight="1" x14ac:dyDescent="0.3"/>
    <row r="21" ht="20.05" customHeight="1" x14ac:dyDescent="0.3"/>
    <row r="22" ht="20.05" customHeight="1" x14ac:dyDescent="0.3"/>
    <row r="23" ht="20.05" customHeight="1" x14ac:dyDescent="0.3"/>
    <row r="24" ht="20.05" customHeight="1" x14ac:dyDescent="0.3"/>
    <row r="25" ht="20.05" customHeight="1" x14ac:dyDescent="0.3"/>
    <row r="26" ht="20.05" customHeight="1" x14ac:dyDescent="0.3"/>
    <row r="27" ht="20.05" customHeight="1" x14ac:dyDescent="0.3"/>
    <row r="28" ht="20.05" customHeight="1" x14ac:dyDescent="0.3"/>
    <row r="29" ht="20.05" customHeight="1" x14ac:dyDescent="0.3"/>
    <row r="30" ht="20.05" customHeight="1" x14ac:dyDescent="0.3"/>
    <row r="31" ht="20.05" customHeight="1" x14ac:dyDescent="0.3"/>
    <row r="32" ht="20.05" customHeight="1" x14ac:dyDescent="0.3"/>
    <row r="33" ht="20.05" customHeight="1" x14ac:dyDescent="0.3"/>
    <row r="34" ht="20.05" customHeight="1" x14ac:dyDescent="0.3"/>
    <row r="35" ht="20.05" customHeight="1" x14ac:dyDescent="0.3"/>
    <row r="36" ht="20.05" customHeight="1" x14ac:dyDescent="0.3"/>
    <row r="37" ht="20.05" customHeight="1" x14ac:dyDescent="0.3"/>
    <row r="38" ht="20.05" customHeight="1" x14ac:dyDescent="0.3"/>
    <row r="39" ht="20.05" customHeight="1" x14ac:dyDescent="0.3"/>
    <row r="40" ht="20.05" customHeight="1" x14ac:dyDescent="0.3"/>
    <row r="41" ht="20.05" customHeight="1" x14ac:dyDescent="0.3"/>
    <row r="42" ht="20.05" customHeight="1" x14ac:dyDescent="0.3"/>
    <row r="43" ht="20.05" customHeight="1" x14ac:dyDescent="0.3"/>
    <row r="44" ht="20.05" customHeight="1" x14ac:dyDescent="0.3"/>
    <row r="45" ht="20.05" customHeight="1" x14ac:dyDescent="0.3"/>
    <row r="46" ht="20.05" customHeight="1" x14ac:dyDescent="0.3"/>
    <row r="47" ht="20.05" customHeight="1" x14ac:dyDescent="0.3"/>
    <row r="48" ht="20.05" customHeight="1" x14ac:dyDescent="0.3"/>
    <row r="49" ht="20.05" customHeight="1" x14ac:dyDescent="0.3"/>
    <row r="50" ht="20.05" customHeight="1" x14ac:dyDescent="0.3"/>
    <row r="51" ht="20.05" customHeight="1" x14ac:dyDescent="0.3"/>
    <row r="52" ht="20.05" customHeight="1" x14ac:dyDescent="0.3"/>
    <row r="53" ht="20.05" customHeight="1" x14ac:dyDescent="0.3"/>
    <row r="54" ht="20.05" customHeight="1" x14ac:dyDescent="0.3"/>
    <row r="55" ht="20.05" customHeight="1" x14ac:dyDescent="0.3"/>
    <row r="56" ht="20.05" customHeight="1" x14ac:dyDescent="0.3"/>
    <row r="57" ht="20.05" customHeight="1" x14ac:dyDescent="0.3"/>
    <row r="58" ht="20.05" customHeight="1" x14ac:dyDescent="0.3"/>
    <row r="59" ht="20.05" customHeight="1" x14ac:dyDescent="0.3"/>
    <row r="60" ht="20.05" customHeight="1" x14ac:dyDescent="0.3"/>
    <row r="61" ht="20.05" customHeight="1" x14ac:dyDescent="0.3"/>
    <row r="62" ht="20.05" customHeight="1" x14ac:dyDescent="0.3"/>
    <row r="63" ht="20.05" customHeight="1" x14ac:dyDescent="0.3"/>
    <row r="64" ht="20.05" customHeight="1" x14ac:dyDescent="0.3"/>
    <row r="65" ht="20.05" customHeight="1" x14ac:dyDescent="0.3"/>
    <row r="66" ht="20.05" customHeight="1" x14ac:dyDescent="0.3"/>
    <row r="67" ht="20.05" customHeight="1" x14ac:dyDescent="0.3"/>
    <row r="68" ht="20.05" customHeight="1" x14ac:dyDescent="0.3"/>
    <row r="69" ht="20.05" customHeight="1" x14ac:dyDescent="0.3"/>
    <row r="70" ht="20.05" customHeight="1" x14ac:dyDescent="0.3"/>
    <row r="71" ht="20.05" customHeight="1" x14ac:dyDescent="0.3"/>
    <row r="72" ht="20.05" customHeight="1" x14ac:dyDescent="0.3"/>
    <row r="73" ht="20.05" customHeight="1" x14ac:dyDescent="0.3"/>
    <row r="74" ht="20.05" customHeight="1" x14ac:dyDescent="0.3"/>
    <row r="75" ht="20.05" customHeight="1" x14ac:dyDescent="0.3"/>
    <row r="76" ht="20.05" customHeight="1" x14ac:dyDescent="0.3"/>
    <row r="77" ht="20.05" customHeight="1" x14ac:dyDescent="0.3"/>
    <row r="78" ht="20.05" customHeight="1" x14ac:dyDescent="0.3"/>
    <row r="79" ht="20.05" customHeight="1" x14ac:dyDescent="0.3"/>
    <row r="80" ht="20.05" customHeight="1" x14ac:dyDescent="0.3"/>
    <row r="81" ht="20.05" customHeight="1" x14ac:dyDescent="0.3"/>
    <row r="82" ht="20.05" customHeight="1" x14ac:dyDescent="0.3"/>
    <row r="83" ht="20.05" customHeight="1" x14ac:dyDescent="0.3"/>
    <row r="84" ht="20.05" customHeight="1" x14ac:dyDescent="0.3"/>
    <row r="85" ht="20.05" customHeight="1" x14ac:dyDescent="0.3"/>
    <row r="86" ht="20.05" customHeight="1" x14ac:dyDescent="0.3"/>
    <row r="87" ht="20.05" customHeight="1" x14ac:dyDescent="0.3"/>
    <row r="88" ht="20.05" customHeight="1" x14ac:dyDescent="0.3"/>
    <row r="89" ht="20.05" customHeight="1" x14ac:dyDescent="0.3"/>
    <row r="90" ht="20.05" customHeight="1" x14ac:dyDescent="0.3"/>
    <row r="91" ht="20.05" customHeight="1" x14ac:dyDescent="0.3"/>
    <row r="92" ht="20.05" customHeight="1" x14ac:dyDescent="0.3"/>
    <row r="93" ht="20.05" customHeight="1" x14ac:dyDescent="0.3"/>
    <row r="94" ht="20.05" customHeight="1" x14ac:dyDescent="0.3"/>
    <row r="95" ht="20.05" customHeight="1" x14ac:dyDescent="0.3"/>
    <row r="96" ht="20.05" customHeight="1" x14ac:dyDescent="0.3"/>
    <row r="97" ht="20.05" customHeight="1" x14ac:dyDescent="0.3"/>
    <row r="98" ht="20.05" customHeight="1" x14ac:dyDescent="0.3"/>
    <row r="99" ht="20.05" customHeight="1" x14ac:dyDescent="0.3"/>
    <row r="100" ht="20.05" customHeight="1" x14ac:dyDescent="0.3"/>
    <row r="101" ht="20.05" customHeight="1" x14ac:dyDescent="0.3"/>
    <row r="102" ht="20.05" customHeight="1" x14ac:dyDescent="0.3"/>
    <row r="103" ht="20.05" customHeight="1" x14ac:dyDescent="0.3"/>
    <row r="104" ht="20.05" customHeight="1" x14ac:dyDescent="0.3"/>
    <row r="105" ht="20.05" customHeight="1" x14ac:dyDescent="0.3"/>
    <row r="106" ht="20.05" customHeight="1" x14ac:dyDescent="0.3"/>
    <row r="107" ht="20.05" customHeight="1" x14ac:dyDescent="0.3"/>
    <row r="108" ht="20.05" customHeight="1" x14ac:dyDescent="0.3"/>
    <row r="109" ht="20.05" customHeight="1" x14ac:dyDescent="0.3"/>
    <row r="110" ht="20.05" customHeight="1" x14ac:dyDescent="0.3"/>
    <row r="111" ht="20.05" customHeight="1" x14ac:dyDescent="0.3"/>
    <row r="112" ht="20.05" customHeight="1" x14ac:dyDescent="0.3"/>
    <row r="113" ht="20.05" customHeight="1" x14ac:dyDescent="0.3"/>
    <row r="114" ht="20.05" customHeight="1" x14ac:dyDescent="0.3"/>
    <row r="115" ht="20.05" customHeight="1" x14ac:dyDescent="0.3"/>
    <row r="116" ht="20.05" customHeight="1" x14ac:dyDescent="0.3"/>
    <row r="117" ht="20.05" customHeight="1" x14ac:dyDescent="0.3"/>
    <row r="118" ht="20.05" customHeight="1" x14ac:dyDescent="0.3"/>
    <row r="119" ht="20.05" customHeight="1" x14ac:dyDescent="0.3"/>
    <row r="120" ht="20.05" customHeight="1" x14ac:dyDescent="0.3"/>
    <row r="121" ht="20.05" customHeight="1" x14ac:dyDescent="0.3"/>
    <row r="122" ht="20.05" customHeight="1" x14ac:dyDescent="0.3"/>
    <row r="123" ht="20.05" customHeight="1" x14ac:dyDescent="0.3"/>
    <row r="124" ht="20.05" customHeight="1" x14ac:dyDescent="0.3"/>
    <row r="125" ht="20.05" customHeight="1" x14ac:dyDescent="0.3"/>
    <row r="126" ht="20.05" customHeight="1" x14ac:dyDescent="0.3"/>
    <row r="127" ht="20.05" customHeight="1" x14ac:dyDescent="0.3"/>
    <row r="128" ht="20.05" customHeight="1" x14ac:dyDescent="0.3"/>
    <row r="129" ht="20.05" customHeight="1" x14ac:dyDescent="0.3"/>
    <row r="130" ht="20.05" customHeight="1" x14ac:dyDescent="0.3"/>
    <row r="131" ht="20.05" customHeight="1" x14ac:dyDescent="0.3"/>
    <row r="132" ht="20.05" customHeight="1" x14ac:dyDescent="0.3"/>
    <row r="133" ht="20.05" customHeight="1" x14ac:dyDescent="0.3"/>
    <row r="134" ht="20.05" customHeight="1" x14ac:dyDescent="0.3"/>
    <row r="135" ht="20.05" customHeight="1" x14ac:dyDescent="0.3"/>
    <row r="136" ht="20.05" customHeight="1" x14ac:dyDescent="0.3"/>
    <row r="137" ht="20.05" customHeight="1" x14ac:dyDescent="0.3"/>
    <row r="138" ht="20.05" customHeight="1" x14ac:dyDescent="0.3"/>
    <row r="139" ht="20.05" customHeight="1" x14ac:dyDescent="0.3"/>
    <row r="140" ht="20.05" customHeight="1" x14ac:dyDescent="0.3"/>
    <row r="141" ht="20.05" customHeight="1" x14ac:dyDescent="0.3"/>
    <row r="142" ht="20.05" customHeight="1" x14ac:dyDescent="0.3"/>
    <row r="143" ht="20.05" customHeight="1" x14ac:dyDescent="0.3"/>
    <row r="144" ht="20.05" customHeight="1" x14ac:dyDescent="0.3"/>
    <row r="145" ht="20.05" customHeight="1" x14ac:dyDescent="0.3"/>
    <row r="146" ht="20.05" customHeight="1" x14ac:dyDescent="0.3"/>
    <row r="147" ht="20.05" customHeight="1" x14ac:dyDescent="0.3"/>
    <row r="148" ht="20.05" customHeight="1" x14ac:dyDescent="0.3"/>
    <row r="149" ht="20.05" customHeight="1" x14ac:dyDescent="0.3"/>
    <row r="150" ht="20.05" customHeight="1" x14ac:dyDescent="0.3"/>
    <row r="151" ht="20.05" customHeight="1" x14ac:dyDescent="0.3"/>
    <row r="152" ht="20.05" customHeight="1" x14ac:dyDescent="0.3"/>
    <row r="153" ht="20.05" customHeight="1" x14ac:dyDescent="0.3"/>
    <row r="154" ht="20.05" customHeight="1" x14ac:dyDescent="0.3"/>
    <row r="155" ht="20.05" customHeight="1" x14ac:dyDescent="0.3"/>
    <row r="156" ht="20.05" customHeight="1" x14ac:dyDescent="0.3"/>
    <row r="157" ht="20.05" customHeight="1" x14ac:dyDescent="0.3"/>
    <row r="158" ht="20.05" customHeight="1" x14ac:dyDescent="0.3"/>
    <row r="159" ht="20.05" customHeight="1" x14ac:dyDescent="0.3"/>
    <row r="160" ht="20.05" customHeight="1" x14ac:dyDescent="0.3"/>
    <row r="161" ht="20.05" customHeight="1" x14ac:dyDescent="0.3"/>
    <row r="162" ht="20.05" customHeight="1" x14ac:dyDescent="0.3"/>
    <row r="163" ht="20.05" customHeight="1" x14ac:dyDescent="0.3"/>
    <row r="164" ht="20.05" customHeight="1" x14ac:dyDescent="0.3"/>
    <row r="165" ht="20.05" customHeight="1" x14ac:dyDescent="0.3"/>
    <row r="166" ht="20.05" customHeight="1" x14ac:dyDescent="0.3"/>
    <row r="167" ht="20.05" customHeight="1" x14ac:dyDescent="0.3"/>
    <row r="168" ht="20.05" customHeight="1" x14ac:dyDescent="0.3"/>
    <row r="169" ht="20.05" customHeight="1" x14ac:dyDescent="0.3"/>
    <row r="170" ht="20.05" customHeight="1" x14ac:dyDescent="0.3"/>
    <row r="171" ht="20.05" customHeight="1" x14ac:dyDescent="0.3"/>
    <row r="172" ht="20.05" customHeight="1" x14ac:dyDescent="0.3"/>
    <row r="173" ht="20.05" customHeight="1" x14ac:dyDescent="0.3"/>
    <row r="174" ht="20.05" customHeight="1" x14ac:dyDescent="0.3"/>
    <row r="175" ht="20.05" customHeight="1" x14ac:dyDescent="0.3"/>
    <row r="176" ht="20.05" customHeight="1" x14ac:dyDescent="0.3"/>
    <row r="177" ht="20.05" customHeight="1" x14ac:dyDescent="0.3"/>
    <row r="178" ht="20.05" customHeight="1" x14ac:dyDescent="0.3"/>
    <row r="179" ht="20.05" customHeight="1" x14ac:dyDescent="0.3"/>
    <row r="180" ht="20.05" customHeight="1" x14ac:dyDescent="0.3"/>
    <row r="181" ht="20.05" customHeight="1" x14ac:dyDescent="0.3"/>
    <row r="182" ht="20.05" customHeight="1" x14ac:dyDescent="0.3"/>
    <row r="183" ht="20.05" customHeight="1" x14ac:dyDescent="0.3"/>
    <row r="184" ht="20.05" customHeight="1" x14ac:dyDescent="0.3"/>
    <row r="185" ht="20.05" customHeight="1" x14ac:dyDescent="0.3"/>
    <row r="186" ht="20.05" customHeight="1" x14ac:dyDescent="0.3"/>
    <row r="187" ht="20.05" customHeight="1" x14ac:dyDescent="0.3"/>
    <row r="188" ht="20.05" customHeight="1" x14ac:dyDescent="0.3"/>
    <row r="189" ht="20.05" customHeight="1" x14ac:dyDescent="0.3"/>
    <row r="190" ht="20.05" customHeight="1" x14ac:dyDescent="0.3"/>
    <row r="191" ht="20.05" customHeight="1" x14ac:dyDescent="0.3"/>
    <row r="192" ht="20.05" customHeight="1" x14ac:dyDescent="0.3"/>
    <row r="193" ht="20.05" customHeight="1" x14ac:dyDescent="0.3"/>
    <row r="194" ht="20.05" customHeight="1" x14ac:dyDescent="0.3"/>
    <row r="195" ht="20.05" customHeight="1" x14ac:dyDescent="0.3"/>
    <row r="196" ht="20.05" customHeight="1" x14ac:dyDescent="0.3"/>
    <row r="197" ht="20.05" customHeight="1" x14ac:dyDescent="0.3"/>
    <row r="198" ht="20.05" customHeight="1" x14ac:dyDescent="0.3"/>
    <row r="199" ht="20.05" customHeight="1" x14ac:dyDescent="0.3"/>
    <row r="200" ht="20.05" customHeight="1" x14ac:dyDescent="0.3"/>
    <row r="201" ht="20.05" customHeight="1" x14ac:dyDescent="0.3"/>
    <row r="202" ht="20.05" customHeight="1" x14ac:dyDescent="0.3"/>
    <row r="203" ht="20.05" customHeight="1" x14ac:dyDescent="0.3"/>
    <row r="204" ht="20.05" customHeight="1" x14ac:dyDescent="0.3"/>
    <row r="205" ht="20.05" customHeight="1" x14ac:dyDescent="0.3"/>
    <row r="206" ht="20.05" customHeight="1" x14ac:dyDescent="0.3"/>
    <row r="207" ht="20.05" customHeight="1" x14ac:dyDescent="0.3"/>
    <row r="208" ht="20.05" customHeight="1" x14ac:dyDescent="0.3"/>
    <row r="209" ht="20.05" customHeight="1" x14ac:dyDescent="0.3"/>
    <row r="210" ht="20.05" customHeight="1" x14ac:dyDescent="0.3"/>
    <row r="211" ht="20.05" customHeight="1" x14ac:dyDescent="0.3"/>
    <row r="212" ht="20.05" customHeight="1" x14ac:dyDescent="0.3"/>
    <row r="213" ht="20.05" customHeight="1" x14ac:dyDescent="0.3"/>
    <row r="214" ht="20.05" customHeight="1" x14ac:dyDescent="0.3"/>
    <row r="215" ht="20.05" customHeight="1" x14ac:dyDescent="0.3"/>
    <row r="216" ht="20.05" customHeight="1" x14ac:dyDescent="0.3"/>
    <row r="217" ht="20.05" customHeight="1" x14ac:dyDescent="0.3"/>
    <row r="218" ht="20.05" customHeight="1" x14ac:dyDescent="0.3"/>
    <row r="219" ht="20.05" customHeight="1" x14ac:dyDescent="0.3"/>
    <row r="220" ht="20.05" customHeight="1" x14ac:dyDescent="0.3"/>
    <row r="221" ht="20.05" customHeight="1" x14ac:dyDescent="0.3"/>
    <row r="222" ht="20.05" customHeight="1" x14ac:dyDescent="0.3"/>
    <row r="223" ht="20.05" customHeight="1" x14ac:dyDescent="0.3"/>
    <row r="224" ht="20.05" customHeight="1" x14ac:dyDescent="0.3"/>
    <row r="225" ht="20.05" customHeight="1" x14ac:dyDescent="0.3"/>
    <row r="226" ht="20.05" customHeight="1" x14ac:dyDescent="0.3"/>
    <row r="227" ht="20.05" customHeight="1" x14ac:dyDescent="0.3"/>
    <row r="228" ht="20.05" customHeight="1" x14ac:dyDescent="0.3"/>
    <row r="229" ht="20.05" customHeight="1" x14ac:dyDescent="0.3"/>
    <row r="230" ht="20.05" customHeight="1" x14ac:dyDescent="0.3"/>
    <row r="231" ht="20.05" customHeight="1" x14ac:dyDescent="0.3"/>
    <row r="232" ht="20.05" customHeight="1" x14ac:dyDescent="0.3"/>
    <row r="233" ht="20.05" customHeight="1" x14ac:dyDescent="0.3"/>
    <row r="234" ht="20.05" customHeight="1" x14ac:dyDescent="0.3"/>
    <row r="235" ht="20.05" customHeight="1" x14ac:dyDescent="0.3"/>
    <row r="236" ht="20.05" customHeight="1" x14ac:dyDescent="0.3"/>
    <row r="237" ht="20.05" customHeight="1" x14ac:dyDescent="0.3"/>
    <row r="238" ht="20.05" customHeight="1" x14ac:dyDescent="0.3"/>
    <row r="239" ht="20.05" customHeight="1" x14ac:dyDescent="0.3"/>
    <row r="240" ht="20.05" customHeight="1" x14ac:dyDescent="0.3"/>
    <row r="241" ht="20.05" customHeight="1" x14ac:dyDescent="0.3"/>
    <row r="242" ht="20.05" customHeight="1" x14ac:dyDescent="0.3"/>
    <row r="243" ht="20.05" customHeight="1" x14ac:dyDescent="0.3"/>
    <row r="244" ht="20.05" customHeight="1" x14ac:dyDescent="0.3"/>
    <row r="245" ht="20.05" customHeight="1" x14ac:dyDescent="0.3"/>
    <row r="246" ht="20.05" customHeight="1" x14ac:dyDescent="0.3"/>
    <row r="247" ht="20.05" customHeight="1" x14ac:dyDescent="0.3"/>
    <row r="248" ht="20.05" customHeight="1" x14ac:dyDescent="0.3"/>
    <row r="249" ht="20.05" customHeight="1" x14ac:dyDescent="0.3"/>
    <row r="250" ht="20.05" customHeight="1" x14ac:dyDescent="0.3"/>
    <row r="251" ht="20.05" customHeight="1" x14ac:dyDescent="0.3"/>
    <row r="252" ht="20.05" customHeight="1" x14ac:dyDescent="0.3"/>
    <row r="253" ht="20.05" customHeight="1" x14ac:dyDescent="0.3"/>
    <row r="254" ht="20.05" customHeight="1" x14ac:dyDescent="0.3"/>
    <row r="255" ht="20.05" customHeight="1" x14ac:dyDescent="0.3"/>
    <row r="256" ht="20.05" customHeight="1" x14ac:dyDescent="0.3"/>
    <row r="257" ht="20.05" customHeight="1" x14ac:dyDescent="0.3"/>
    <row r="258" ht="20.05" customHeight="1" x14ac:dyDescent="0.3"/>
    <row r="259" ht="20.05" customHeight="1" x14ac:dyDescent="0.3"/>
    <row r="260" ht="20.05" customHeight="1" x14ac:dyDescent="0.3"/>
    <row r="261" ht="20.05" customHeight="1" x14ac:dyDescent="0.3"/>
    <row r="262" ht="20.05" customHeight="1" x14ac:dyDescent="0.3"/>
    <row r="263" ht="20.05" customHeight="1" x14ac:dyDescent="0.3"/>
    <row r="264" ht="20.05" customHeight="1" x14ac:dyDescent="0.3"/>
    <row r="265" ht="20.05" customHeight="1" x14ac:dyDescent="0.3"/>
    <row r="266" ht="20.05" customHeight="1" x14ac:dyDescent="0.3"/>
    <row r="267" ht="20.05" customHeight="1" x14ac:dyDescent="0.3"/>
    <row r="268" ht="20.05" customHeight="1" x14ac:dyDescent="0.3"/>
    <row r="269" ht="20.05" customHeight="1" x14ac:dyDescent="0.3"/>
    <row r="270" ht="20.05" customHeight="1" x14ac:dyDescent="0.3"/>
    <row r="271" ht="20.05" customHeight="1" x14ac:dyDescent="0.3"/>
    <row r="272" ht="20.05" customHeight="1" x14ac:dyDescent="0.3"/>
    <row r="273" ht="20.05" customHeight="1" x14ac:dyDescent="0.3"/>
    <row r="274" ht="20.05" customHeight="1" x14ac:dyDescent="0.3"/>
    <row r="275" ht="20.05" customHeight="1" x14ac:dyDescent="0.3"/>
    <row r="276" ht="20.05" customHeight="1" x14ac:dyDescent="0.3"/>
    <row r="277" ht="20.05" customHeight="1" x14ac:dyDescent="0.3"/>
    <row r="278" ht="20.05" customHeight="1" x14ac:dyDescent="0.3"/>
    <row r="279" ht="20.05" customHeight="1" x14ac:dyDescent="0.3"/>
    <row r="280" ht="20.05" customHeight="1" x14ac:dyDescent="0.3"/>
    <row r="281" ht="20.05" customHeight="1" x14ac:dyDescent="0.3"/>
    <row r="282" ht="20.05" customHeight="1" x14ac:dyDescent="0.3"/>
    <row r="283" ht="20.05" customHeight="1" x14ac:dyDescent="0.3"/>
    <row r="284" ht="20.05" customHeight="1" x14ac:dyDescent="0.3"/>
    <row r="285" ht="20.05" customHeight="1" x14ac:dyDescent="0.3"/>
    <row r="286" ht="20.05" customHeight="1" x14ac:dyDescent="0.3"/>
    <row r="287" ht="20.05" customHeight="1" x14ac:dyDescent="0.3"/>
    <row r="288" ht="20.05" customHeight="1" x14ac:dyDescent="0.3"/>
    <row r="289" ht="20.05" customHeight="1" x14ac:dyDescent="0.3"/>
    <row r="290" ht="20.05" customHeight="1" x14ac:dyDescent="0.3"/>
    <row r="291" ht="20.05" customHeight="1" x14ac:dyDescent="0.3"/>
    <row r="292" ht="20.05" customHeight="1" x14ac:dyDescent="0.3"/>
    <row r="293" ht="20.05" customHeight="1" x14ac:dyDescent="0.3"/>
    <row r="294" ht="20.05" customHeight="1" x14ac:dyDescent="0.3"/>
    <row r="295" ht="20.05" customHeight="1" x14ac:dyDescent="0.3"/>
    <row r="296" ht="20.05" customHeight="1" x14ac:dyDescent="0.3"/>
    <row r="297" ht="20.05" customHeight="1" x14ac:dyDescent="0.3"/>
    <row r="298" ht="20.05" customHeight="1" x14ac:dyDescent="0.3"/>
    <row r="299" ht="20.05" customHeight="1" x14ac:dyDescent="0.3"/>
    <row r="300" ht="20.05" customHeight="1" x14ac:dyDescent="0.3"/>
    <row r="301" ht="20.05" customHeight="1" x14ac:dyDescent="0.3"/>
    <row r="302" ht="20.05" customHeight="1" x14ac:dyDescent="0.3"/>
    <row r="303" ht="20.05" customHeight="1" x14ac:dyDescent="0.3"/>
    <row r="304" ht="20.05" customHeight="1" x14ac:dyDescent="0.3"/>
    <row r="305" ht="20.05" customHeight="1" x14ac:dyDescent="0.3"/>
    <row r="306" ht="20.05" customHeight="1" x14ac:dyDescent="0.3"/>
    <row r="307" ht="20.05" customHeight="1" x14ac:dyDescent="0.3"/>
    <row r="308" ht="20.05" customHeight="1" x14ac:dyDescent="0.3"/>
    <row r="309" ht="20.05" customHeight="1" x14ac:dyDescent="0.3"/>
    <row r="310" ht="20.05" customHeight="1" x14ac:dyDescent="0.3"/>
    <row r="311" ht="20.05" customHeight="1" x14ac:dyDescent="0.3"/>
    <row r="312" ht="20.05" customHeight="1" x14ac:dyDescent="0.3"/>
    <row r="313" ht="20.05" customHeight="1" x14ac:dyDescent="0.3"/>
    <row r="314" ht="20.05" customHeight="1" x14ac:dyDescent="0.3"/>
    <row r="315" ht="20.05" customHeight="1" x14ac:dyDescent="0.3"/>
    <row r="316" ht="20.05" customHeight="1" x14ac:dyDescent="0.3"/>
    <row r="317" ht="20.05" customHeight="1" x14ac:dyDescent="0.3"/>
    <row r="318" ht="20.05" customHeight="1" x14ac:dyDescent="0.3"/>
    <row r="319" ht="20.05" customHeight="1" x14ac:dyDescent="0.3"/>
    <row r="320" ht="20.05" customHeight="1" x14ac:dyDescent="0.3"/>
    <row r="321" ht="20.05" customHeight="1" x14ac:dyDescent="0.3"/>
    <row r="322" ht="20.05" customHeight="1" x14ac:dyDescent="0.3"/>
    <row r="323" ht="20.05" customHeight="1" x14ac:dyDescent="0.3"/>
    <row r="324" ht="20.05" customHeight="1" x14ac:dyDescent="0.3"/>
    <row r="325" ht="20.05" customHeight="1" x14ac:dyDescent="0.3"/>
    <row r="326" ht="20.05" customHeight="1" x14ac:dyDescent="0.3"/>
    <row r="327" ht="20.05" customHeight="1" x14ac:dyDescent="0.3"/>
    <row r="328" ht="20.05" customHeight="1" x14ac:dyDescent="0.3"/>
    <row r="329" ht="20.05" customHeight="1" x14ac:dyDescent="0.3"/>
    <row r="330" ht="20.05" customHeight="1" x14ac:dyDescent="0.3"/>
    <row r="331" ht="20.05" customHeight="1" x14ac:dyDescent="0.3"/>
    <row r="332" ht="20.05" customHeight="1" x14ac:dyDescent="0.3"/>
    <row r="333" ht="20.05" customHeight="1" x14ac:dyDescent="0.3"/>
    <row r="334" ht="20.05" customHeight="1" x14ac:dyDescent="0.3"/>
    <row r="335" ht="20.05" customHeight="1" x14ac:dyDescent="0.3"/>
    <row r="336" ht="20.05" customHeight="1" x14ac:dyDescent="0.3"/>
    <row r="337" ht="20.05" customHeight="1" x14ac:dyDescent="0.3"/>
    <row r="338" ht="20.05" customHeight="1" x14ac:dyDescent="0.3"/>
    <row r="339" ht="20.05" customHeight="1" x14ac:dyDescent="0.3"/>
    <row r="340" ht="20.05" customHeight="1" x14ac:dyDescent="0.3"/>
    <row r="341" ht="20.05" customHeight="1" x14ac:dyDescent="0.3"/>
    <row r="342" ht="20.05" customHeight="1" x14ac:dyDescent="0.3"/>
    <row r="343" ht="20.05" customHeight="1" x14ac:dyDescent="0.3"/>
    <row r="344" ht="20.05" customHeight="1" x14ac:dyDescent="0.3"/>
    <row r="345" ht="20.05" customHeight="1" x14ac:dyDescent="0.3"/>
    <row r="346" ht="20.05" customHeight="1" x14ac:dyDescent="0.3"/>
    <row r="347" ht="20.05" customHeight="1" x14ac:dyDescent="0.3"/>
    <row r="348" ht="20.05" customHeight="1" x14ac:dyDescent="0.3"/>
    <row r="349" ht="20.05" customHeight="1" x14ac:dyDescent="0.3"/>
    <row r="350" ht="20.05" customHeight="1" x14ac:dyDescent="0.3"/>
    <row r="351" ht="20.05" customHeight="1" x14ac:dyDescent="0.3"/>
    <row r="352" ht="20.05" customHeight="1" x14ac:dyDescent="0.3"/>
    <row r="353" ht="20.05" customHeight="1" x14ac:dyDescent="0.3"/>
    <row r="354" ht="20.05" customHeight="1" x14ac:dyDescent="0.3"/>
    <row r="355" ht="20.05" customHeight="1" x14ac:dyDescent="0.3"/>
    <row r="356" ht="20.05" customHeight="1" x14ac:dyDescent="0.3"/>
    <row r="357" ht="20.05" customHeight="1" x14ac:dyDescent="0.3"/>
    <row r="358" ht="20.05" customHeight="1" x14ac:dyDescent="0.3"/>
    <row r="359" ht="20.05" customHeight="1" x14ac:dyDescent="0.3"/>
    <row r="360" ht="20.05" customHeight="1" x14ac:dyDescent="0.3"/>
    <row r="361" ht="20.05" customHeight="1" x14ac:dyDescent="0.3"/>
    <row r="362" ht="20.05" customHeight="1" x14ac:dyDescent="0.3"/>
    <row r="363" ht="20.05" customHeight="1" x14ac:dyDescent="0.3"/>
    <row r="364" ht="20.05" customHeight="1" x14ac:dyDescent="0.3"/>
    <row r="365" ht="20.05" customHeight="1" x14ac:dyDescent="0.3"/>
    <row r="366" ht="20.05" customHeight="1" x14ac:dyDescent="0.3"/>
    <row r="367" ht="20.05" customHeight="1" x14ac:dyDescent="0.3"/>
    <row r="368" ht="20.05" customHeight="1" x14ac:dyDescent="0.3"/>
    <row r="369" ht="20.05" customHeight="1" x14ac:dyDescent="0.3"/>
    <row r="370" ht="20.05" customHeight="1" x14ac:dyDescent="0.3"/>
    <row r="371" ht="20.05" customHeight="1" x14ac:dyDescent="0.3"/>
    <row r="372" ht="20.05" customHeight="1" x14ac:dyDescent="0.3"/>
    <row r="373" ht="20.05" customHeight="1" x14ac:dyDescent="0.3"/>
    <row r="374" ht="20.05" customHeight="1" x14ac:dyDescent="0.3"/>
    <row r="375" ht="20.05" customHeight="1" x14ac:dyDescent="0.3"/>
    <row r="376" ht="20.05" customHeight="1" x14ac:dyDescent="0.3"/>
    <row r="377" ht="20.05" customHeight="1" x14ac:dyDescent="0.3"/>
    <row r="378" ht="20.05" customHeight="1" x14ac:dyDescent="0.3"/>
    <row r="379" ht="20.05" customHeight="1" x14ac:dyDescent="0.3"/>
    <row r="380" ht="20.05" customHeight="1" x14ac:dyDescent="0.3"/>
    <row r="381" ht="20.05" customHeight="1" x14ac:dyDescent="0.3"/>
    <row r="382" ht="20.05" customHeight="1" x14ac:dyDescent="0.3"/>
    <row r="383" ht="20.05" customHeight="1" x14ac:dyDescent="0.3"/>
    <row r="384" ht="20.05" customHeight="1" x14ac:dyDescent="0.3"/>
    <row r="385" ht="20.05" customHeight="1" x14ac:dyDescent="0.3"/>
    <row r="386" ht="20.05" customHeight="1" x14ac:dyDescent="0.3"/>
    <row r="387" ht="20.05" customHeight="1" x14ac:dyDescent="0.3"/>
    <row r="388" ht="20.05" customHeight="1" x14ac:dyDescent="0.3"/>
    <row r="389" ht="20.05" customHeight="1" x14ac:dyDescent="0.3"/>
    <row r="390" ht="20.05" customHeight="1" x14ac:dyDescent="0.3"/>
    <row r="391" ht="20.05" customHeight="1" x14ac:dyDescent="0.3"/>
    <row r="392" ht="20.05" customHeight="1" x14ac:dyDescent="0.3"/>
    <row r="393" ht="20.05" customHeight="1" x14ac:dyDescent="0.3"/>
    <row r="394" ht="20.05" customHeight="1" x14ac:dyDescent="0.3"/>
    <row r="395" ht="20.05" customHeight="1" x14ac:dyDescent="0.3"/>
    <row r="396" ht="20.05" customHeight="1" x14ac:dyDescent="0.3"/>
    <row r="397" ht="20.05" customHeight="1" x14ac:dyDescent="0.3"/>
    <row r="398" ht="20.05" customHeight="1" x14ac:dyDescent="0.3"/>
    <row r="399" ht="20.05" customHeight="1" x14ac:dyDescent="0.3"/>
    <row r="400" ht="20.05" customHeight="1" x14ac:dyDescent="0.3"/>
    <row r="401" ht="20.05" customHeight="1" x14ac:dyDescent="0.3"/>
    <row r="402" ht="20.05" customHeight="1" x14ac:dyDescent="0.3"/>
    <row r="403" ht="20.05" customHeight="1" x14ac:dyDescent="0.3"/>
    <row r="404" ht="20.05" customHeight="1" x14ac:dyDescent="0.3"/>
    <row r="405" ht="20.05" customHeight="1" x14ac:dyDescent="0.3"/>
    <row r="406" ht="20.05" customHeight="1" x14ac:dyDescent="0.3"/>
    <row r="407" ht="20.05" customHeight="1" x14ac:dyDescent="0.3"/>
    <row r="408" ht="20.05" customHeight="1" x14ac:dyDescent="0.3"/>
    <row r="409" ht="20.05" customHeight="1" x14ac:dyDescent="0.3"/>
    <row r="410" ht="20.05" customHeight="1" x14ac:dyDescent="0.3"/>
    <row r="411" ht="20.05" customHeight="1" x14ac:dyDescent="0.3"/>
    <row r="412" ht="20.05" customHeight="1" x14ac:dyDescent="0.3"/>
    <row r="413" ht="20.05" customHeight="1" x14ac:dyDescent="0.3"/>
    <row r="414" ht="20.05" customHeight="1" x14ac:dyDescent="0.3"/>
    <row r="415" ht="20.05" customHeight="1" x14ac:dyDescent="0.3"/>
    <row r="416" ht="20.05" customHeight="1" x14ac:dyDescent="0.3"/>
    <row r="417" ht="20.05" customHeight="1" x14ac:dyDescent="0.3"/>
    <row r="418" ht="20.05" customHeight="1" x14ac:dyDescent="0.3"/>
    <row r="419" ht="20.05" customHeight="1" x14ac:dyDescent="0.3"/>
    <row r="420" ht="20.05" customHeight="1" x14ac:dyDescent="0.3"/>
    <row r="421" ht="20.05" customHeight="1" x14ac:dyDescent="0.3"/>
    <row r="422" ht="20.05" customHeight="1" x14ac:dyDescent="0.3"/>
    <row r="423" ht="20.05" customHeight="1" x14ac:dyDescent="0.3"/>
    <row r="424" ht="20.05" customHeight="1" x14ac:dyDescent="0.3"/>
    <row r="425" ht="20.05" customHeight="1" x14ac:dyDescent="0.3"/>
    <row r="426" ht="20.05" customHeight="1" x14ac:dyDescent="0.3"/>
    <row r="427" ht="20.05" customHeight="1" x14ac:dyDescent="0.3"/>
    <row r="428" ht="20.05" customHeight="1" x14ac:dyDescent="0.3"/>
    <row r="429" ht="20.05" customHeight="1" x14ac:dyDescent="0.3"/>
    <row r="430" ht="20.05" customHeight="1" x14ac:dyDescent="0.3"/>
    <row r="431" ht="20.05" customHeight="1" x14ac:dyDescent="0.3"/>
    <row r="432" ht="20.05" customHeight="1" x14ac:dyDescent="0.3"/>
    <row r="433" ht="20.05" customHeight="1" x14ac:dyDescent="0.3"/>
    <row r="434" ht="20.05" customHeight="1" x14ac:dyDescent="0.3"/>
    <row r="435" ht="20.05" customHeight="1" x14ac:dyDescent="0.3"/>
    <row r="436" ht="20.05" customHeight="1" x14ac:dyDescent="0.3"/>
    <row r="437" ht="20.05" customHeight="1" x14ac:dyDescent="0.3"/>
    <row r="438" ht="20.05" customHeight="1" x14ac:dyDescent="0.3"/>
    <row r="439" ht="20.05" customHeight="1" x14ac:dyDescent="0.3"/>
    <row r="440" ht="20.05" customHeight="1" x14ac:dyDescent="0.3"/>
    <row r="441" ht="20.05" customHeight="1" x14ac:dyDescent="0.3"/>
    <row r="442" ht="20.05" customHeight="1" x14ac:dyDescent="0.3"/>
    <row r="443" ht="20.05" customHeight="1" x14ac:dyDescent="0.3"/>
    <row r="444" ht="20.05" customHeight="1" x14ac:dyDescent="0.3"/>
    <row r="445" ht="20.05" customHeight="1" x14ac:dyDescent="0.3"/>
    <row r="446" ht="20.05" customHeight="1" x14ac:dyDescent="0.3"/>
    <row r="447" ht="20.05" customHeight="1" x14ac:dyDescent="0.3"/>
    <row r="448" ht="20.05" customHeight="1" x14ac:dyDescent="0.3"/>
    <row r="449" ht="20.05" customHeight="1" x14ac:dyDescent="0.3"/>
    <row r="450" ht="20.05" customHeight="1" x14ac:dyDescent="0.3"/>
    <row r="451" ht="20.05" customHeight="1" x14ac:dyDescent="0.3"/>
    <row r="452" ht="20.05" customHeight="1" x14ac:dyDescent="0.3"/>
    <row r="453" ht="20.05" customHeight="1" x14ac:dyDescent="0.3"/>
    <row r="454" ht="20.05" customHeight="1" x14ac:dyDescent="0.3"/>
    <row r="455" ht="20.05" customHeight="1" x14ac:dyDescent="0.3"/>
    <row r="456" ht="20.05" customHeight="1" x14ac:dyDescent="0.3"/>
    <row r="457" ht="20.05" customHeight="1" x14ac:dyDescent="0.3"/>
    <row r="458" ht="20.05" customHeight="1" x14ac:dyDescent="0.3"/>
    <row r="459" ht="20.05" customHeight="1" x14ac:dyDescent="0.3"/>
    <row r="460" ht="20.05" customHeight="1" x14ac:dyDescent="0.3"/>
    <row r="461" ht="20.05" customHeight="1" x14ac:dyDescent="0.3"/>
    <row r="462" ht="20.05" customHeight="1" x14ac:dyDescent="0.3"/>
    <row r="463" ht="20.05" customHeight="1" x14ac:dyDescent="0.3"/>
    <row r="464" ht="20.05" customHeight="1" x14ac:dyDescent="0.3"/>
    <row r="465" ht="20.05" customHeight="1" x14ac:dyDescent="0.3"/>
    <row r="466" ht="20.05" customHeight="1" x14ac:dyDescent="0.3"/>
    <row r="467" ht="20.05" customHeight="1" x14ac:dyDescent="0.3"/>
    <row r="468" ht="20.05" customHeight="1" x14ac:dyDescent="0.3"/>
    <row r="469" ht="20.05" customHeight="1" x14ac:dyDescent="0.3"/>
    <row r="470" ht="20.05" customHeight="1" x14ac:dyDescent="0.3"/>
    <row r="471" ht="20.05" customHeight="1" x14ac:dyDescent="0.3"/>
    <row r="472" ht="20.05" customHeight="1" x14ac:dyDescent="0.3"/>
    <row r="473" ht="20.05" customHeight="1" x14ac:dyDescent="0.3"/>
    <row r="474" ht="20.05" customHeight="1" x14ac:dyDescent="0.3"/>
    <row r="475" ht="20.05" customHeight="1" x14ac:dyDescent="0.3"/>
    <row r="476" ht="20.05" customHeight="1" x14ac:dyDescent="0.3"/>
    <row r="477" ht="20.05" customHeight="1" x14ac:dyDescent="0.3"/>
    <row r="478" ht="20.05" customHeight="1" x14ac:dyDescent="0.3"/>
    <row r="479" ht="20.05" customHeight="1" x14ac:dyDescent="0.3"/>
    <row r="480" ht="20.05" customHeight="1" x14ac:dyDescent="0.3"/>
    <row r="481" ht="20.05" customHeight="1" x14ac:dyDescent="0.3"/>
    <row r="482" ht="20.05" customHeight="1" x14ac:dyDescent="0.3"/>
    <row r="483" ht="20.05" customHeight="1" x14ac:dyDescent="0.3"/>
    <row r="484" ht="20.05" customHeight="1" x14ac:dyDescent="0.3"/>
    <row r="485" ht="20.05" customHeight="1" x14ac:dyDescent="0.3"/>
    <row r="486" ht="20.05" customHeight="1" x14ac:dyDescent="0.3"/>
    <row r="487" ht="20.05" customHeight="1" x14ac:dyDescent="0.3"/>
    <row r="488" ht="20.05" customHeight="1" x14ac:dyDescent="0.3"/>
    <row r="489" ht="20.05" customHeight="1" x14ac:dyDescent="0.3"/>
    <row r="490" ht="20.05" customHeight="1" x14ac:dyDescent="0.3"/>
    <row r="491" ht="20.05" customHeight="1" x14ac:dyDescent="0.3"/>
    <row r="492" ht="20.05" customHeight="1" x14ac:dyDescent="0.3"/>
    <row r="493" ht="20.05" customHeight="1" x14ac:dyDescent="0.3"/>
    <row r="494" ht="20.05" customHeight="1" x14ac:dyDescent="0.3"/>
    <row r="495" ht="20.05" customHeight="1" x14ac:dyDescent="0.3"/>
    <row r="496" ht="20.05" customHeight="1" x14ac:dyDescent="0.3"/>
    <row r="497" ht="20.05" customHeight="1" x14ac:dyDescent="0.3"/>
    <row r="498" ht="20.05" customHeight="1" x14ac:dyDescent="0.3"/>
    <row r="499" ht="20.05" customHeight="1" x14ac:dyDescent="0.3"/>
    <row r="500" ht="20.05" customHeight="1" x14ac:dyDescent="0.3"/>
    <row r="501" ht="20.05" customHeight="1" x14ac:dyDescent="0.3"/>
    <row r="502" ht="20.05" customHeight="1" x14ac:dyDescent="0.3"/>
    <row r="503" ht="20.05" customHeight="1" x14ac:dyDescent="0.3"/>
    <row r="504" ht="20.05" customHeight="1" x14ac:dyDescent="0.3"/>
    <row r="505" ht="20.05" customHeight="1" x14ac:dyDescent="0.3"/>
    <row r="506" ht="20.05" customHeight="1" x14ac:dyDescent="0.3"/>
    <row r="507" ht="20.05" customHeight="1" x14ac:dyDescent="0.3"/>
    <row r="508" ht="20.05" customHeight="1" x14ac:dyDescent="0.3"/>
    <row r="509" ht="20.05" customHeight="1" x14ac:dyDescent="0.3"/>
    <row r="510" ht="20.05" customHeight="1" x14ac:dyDescent="0.3"/>
    <row r="511" ht="20.05" customHeight="1" x14ac:dyDescent="0.3"/>
    <row r="512" ht="20.05" customHeight="1" x14ac:dyDescent="0.3"/>
    <row r="513" ht="20.05" customHeight="1" x14ac:dyDescent="0.3"/>
    <row r="514" ht="20.05" customHeight="1" x14ac:dyDescent="0.3"/>
    <row r="515" ht="20.05" customHeight="1" x14ac:dyDescent="0.3"/>
    <row r="516" ht="20.05" customHeight="1" x14ac:dyDescent="0.3"/>
    <row r="517" ht="20.05" customHeight="1" x14ac:dyDescent="0.3"/>
    <row r="518" ht="20.05" customHeight="1" x14ac:dyDescent="0.3"/>
    <row r="519" ht="20.05" customHeight="1" x14ac:dyDescent="0.3"/>
    <row r="520" ht="20.05" customHeight="1" x14ac:dyDescent="0.3"/>
    <row r="521" ht="20.05" customHeight="1" x14ac:dyDescent="0.3"/>
    <row r="522" ht="20.05" customHeight="1" x14ac:dyDescent="0.3"/>
    <row r="523" ht="20.05" customHeight="1" x14ac:dyDescent="0.3"/>
    <row r="524" ht="20.05" customHeight="1" x14ac:dyDescent="0.3"/>
    <row r="525" ht="20.05" customHeight="1" x14ac:dyDescent="0.3"/>
    <row r="526" ht="20.05" customHeight="1" x14ac:dyDescent="0.3"/>
    <row r="527" ht="20.05" customHeight="1" x14ac:dyDescent="0.3"/>
    <row r="528" ht="20.05" customHeight="1" x14ac:dyDescent="0.3"/>
    <row r="529" ht="20.05" customHeight="1" x14ac:dyDescent="0.3"/>
    <row r="530" ht="20.05" customHeight="1" x14ac:dyDescent="0.3"/>
    <row r="531" ht="20.05" customHeight="1" x14ac:dyDescent="0.3"/>
    <row r="532" ht="20.05" customHeight="1" x14ac:dyDescent="0.3"/>
    <row r="533" ht="20.05" customHeight="1" x14ac:dyDescent="0.3"/>
    <row r="534" ht="20.05" customHeight="1" x14ac:dyDescent="0.3"/>
    <row r="535" ht="20.05" customHeight="1" x14ac:dyDescent="0.3"/>
    <row r="536" ht="20.05" customHeight="1" x14ac:dyDescent="0.3"/>
    <row r="537" ht="20.05" customHeight="1" x14ac:dyDescent="0.3"/>
    <row r="538" ht="20.05" customHeight="1" x14ac:dyDescent="0.3"/>
    <row r="539" ht="20.05" customHeight="1" x14ac:dyDescent="0.3"/>
    <row r="540" ht="20.05" customHeight="1" x14ac:dyDescent="0.3"/>
    <row r="541" ht="20.05" customHeight="1" x14ac:dyDescent="0.3"/>
    <row r="542" ht="20.05" customHeight="1" x14ac:dyDescent="0.3"/>
    <row r="543" ht="20.05" customHeight="1" x14ac:dyDescent="0.3"/>
    <row r="544" ht="20.05" customHeight="1" x14ac:dyDescent="0.3"/>
    <row r="545" ht="20.05" customHeight="1" x14ac:dyDescent="0.3"/>
    <row r="546" ht="20.05" customHeight="1" x14ac:dyDescent="0.3"/>
    <row r="547" ht="20.05" customHeight="1" x14ac:dyDescent="0.3"/>
    <row r="548" ht="20.05" customHeight="1" x14ac:dyDescent="0.3"/>
    <row r="549" ht="20.05" customHeight="1" x14ac:dyDescent="0.3"/>
    <row r="550" ht="20.05" customHeight="1" x14ac:dyDescent="0.3"/>
    <row r="551" ht="20.05" customHeight="1" x14ac:dyDescent="0.3"/>
    <row r="552" ht="20.05" customHeight="1" x14ac:dyDescent="0.3"/>
    <row r="553" ht="20.05" customHeight="1" x14ac:dyDescent="0.3"/>
    <row r="554" ht="20.05" customHeight="1" x14ac:dyDescent="0.3"/>
    <row r="555" ht="20.05" customHeight="1" x14ac:dyDescent="0.3"/>
    <row r="556" ht="20.05" customHeight="1" x14ac:dyDescent="0.3"/>
    <row r="557" ht="20.05" customHeight="1" x14ac:dyDescent="0.3"/>
    <row r="558" ht="20.05" customHeight="1" x14ac:dyDescent="0.3"/>
    <row r="559" ht="20.05" customHeight="1" x14ac:dyDescent="0.3"/>
    <row r="560" ht="20.05" customHeight="1" x14ac:dyDescent="0.3"/>
    <row r="561" ht="20.05" customHeight="1" x14ac:dyDescent="0.3"/>
    <row r="562" ht="20.05" customHeight="1" x14ac:dyDescent="0.3"/>
    <row r="563" ht="20.05" customHeight="1" x14ac:dyDescent="0.3"/>
    <row r="564" ht="20.05" customHeight="1" x14ac:dyDescent="0.3"/>
    <row r="565" ht="20.05" customHeight="1" x14ac:dyDescent="0.3"/>
    <row r="566" ht="20.05" customHeight="1" x14ac:dyDescent="0.3"/>
    <row r="567" ht="20.05" customHeight="1" x14ac:dyDescent="0.3"/>
    <row r="568" ht="20.05" customHeight="1" x14ac:dyDescent="0.3"/>
    <row r="569" ht="20.05" customHeight="1" x14ac:dyDescent="0.3"/>
    <row r="570" ht="20.05" customHeight="1" x14ac:dyDescent="0.3"/>
    <row r="571" ht="20.05" customHeight="1" x14ac:dyDescent="0.3"/>
    <row r="572" ht="20.05" customHeight="1" x14ac:dyDescent="0.3"/>
    <row r="573" ht="20.05" customHeight="1" x14ac:dyDescent="0.3"/>
    <row r="574" ht="20.05" customHeight="1" x14ac:dyDescent="0.3"/>
    <row r="575" ht="20.05" customHeight="1" x14ac:dyDescent="0.3"/>
    <row r="576" ht="20.05" customHeight="1" x14ac:dyDescent="0.3"/>
    <row r="577" ht="20.05" customHeight="1" x14ac:dyDescent="0.3"/>
    <row r="578" ht="20.05" customHeight="1" x14ac:dyDescent="0.3"/>
    <row r="579" ht="20.05" customHeight="1" x14ac:dyDescent="0.3"/>
    <row r="580" ht="20.05" customHeight="1" x14ac:dyDescent="0.3"/>
    <row r="581" ht="20.05" customHeight="1" x14ac:dyDescent="0.3"/>
    <row r="582" ht="20.05" customHeight="1" x14ac:dyDescent="0.3"/>
    <row r="583" ht="20.05" customHeight="1" x14ac:dyDescent="0.3"/>
    <row r="584" ht="20.05" customHeight="1" x14ac:dyDescent="0.3"/>
    <row r="585" ht="20.05" customHeight="1" x14ac:dyDescent="0.3"/>
    <row r="586" ht="20.05" customHeight="1" x14ac:dyDescent="0.3"/>
    <row r="587" ht="20.05" customHeight="1" x14ac:dyDescent="0.3"/>
    <row r="588" ht="20.05" customHeight="1" x14ac:dyDescent="0.3"/>
    <row r="589" ht="20.05" customHeight="1" x14ac:dyDescent="0.3"/>
    <row r="590" ht="20.05" customHeight="1" x14ac:dyDescent="0.3"/>
    <row r="591" ht="20.05" customHeight="1" x14ac:dyDescent="0.3"/>
    <row r="592" ht="20.05" customHeight="1" x14ac:dyDescent="0.3"/>
    <row r="593" ht="20.05" customHeight="1" x14ac:dyDescent="0.3"/>
    <row r="594" ht="20.05" customHeight="1" x14ac:dyDescent="0.3"/>
    <row r="595" ht="20.05" customHeight="1" x14ac:dyDescent="0.3"/>
    <row r="596" ht="20.05" customHeight="1" x14ac:dyDescent="0.3"/>
    <row r="597" ht="20.05" customHeight="1" x14ac:dyDescent="0.3"/>
    <row r="598" ht="20.05" customHeight="1" x14ac:dyDescent="0.3"/>
    <row r="599" ht="20.05" customHeight="1" x14ac:dyDescent="0.3"/>
    <row r="600" ht="20.05" customHeight="1" x14ac:dyDescent="0.3"/>
    <row r="601" ht="20.05" customHeight="1" x14ac:dyDescent="0.3"/>
    <row r="602" ht="20.05" customHeight="1" x14ac:dyDescent="0.3"/>
    <row r="603" ht="20.05" customHeight="1" x14ac:dyDescent="0.3"/>
    <row r="604" ht="20.05" customHeight="1" x14ac:dyDescent="0.3"/>
    <row r="605" ht="20.05" customHeight="1" x14ac:dyDescent="0.3"/>
    <row r="606" ht="20.05" customHeight="1" x14ac:dyDescent="0.3"/>
    <row r="607" ht="20.05" customHeight="1" x14ac:dyDescent="0.3"/>
    <row r="608" ht="20.05" customHeight="1" x14ac:dyDescent="0.3"/>
    <row r="609" ht="20.05" customHeight="1" x14ac:dyDescent="0.3"/>
    <row r="610" ht="20.05" customHeight="1" x14ac:dyDescent="0.3"/>
    <row r="611" ht="20.05" customHeight="1" x14ac:dyDescent="0.3"/>
    <row r="612" ht="20.05" customHeight="1" x14ac:dyDescent="0.3"/>
    <row r="613" ht="20.05" customHeight="1" x14ac:dyDescent="0.3"/>
    <row r="614" ht="20.05" customHeight="1" x14ac:dyDescent="0.3"/>
    <row r="615" ht="20.05" customHeight="1" x14ac:dyDescent="0.3"/>
    <row r="616" ht="20.05" customHeight="1" x14ac:dyDescent="0.3"/>
    <row r="617" ht="20.05" customHeight="1" x14ac:dyDescent="0.3"/>
    <row r="618" ht="20.05" customHeight="1" x14ac:dyDescent="0.3"/>
    <row r="619" ht="20.05" customHeight="1" x14ac:dyDescent="0.3"/>
    <row r="620" ht="20.05" customHeight="1" x14ac:dyDescent="0.3"/>
    <row r="621" ht="20.05" customHeight="1" x14ac:dyDescent="0.3"/>
    <row r="622" ht="20.05" customHeight="1" x14ac:dyDescent="0.3"/>
    <row r="623" ht="20.05" customHeight="1" x14ac:dyDescent="0.3"/>
    <row r="624" ht="20.05" customHeight="1" x14ac:dyDescent="0.3"/>
    <row r="625" ht="20.05" customHeight="1" x14ac:dyDescent="0.3"/>
    <row r="626" ht="20.05" customHeight="1" x14ac:dyDescent="0.3"/>
    <row r="627" ht="20.05" customHeight="1" x14ac:dyDescent="0.3"/>
    <row r="628" ht="20.05" customHeight="1" x14ac:dyDescent="0.3"/>
    <row r="629" ht="20.05" customHeight="1" x14ac:dyDescent="0.3"/>
    <row r="630" ht="20.05" customHeight="1" x14ac:dyDescent="0.3"/>
    <row r="631" ht="20.05" customHeight="1" x14ac:dyDescent="0.3"/>
    <row r="632" ht="20.05" customHeight="1" x14ac:dyDescent="0.3"/>
    <row r="633" ht="20.05" customHeight="1" x14ac:dyDescent="0.3"/>
    <row r="634" ht="20.05" customHeight="1" x14ac:dyDescent="0.3"/>
    <row r="635" ht="20.05" customHeight="1" x14ac:dyDescent="0.3"/>
    <row r="636" ht="20.05" customHeight="1" x14ac:dyDescent="0.3"/>
    <row r="637" ht="20.05" customHeight="1" x14ac:dyDescent="0.3"/>
    <row r="638" ht="20.05" customHeight="1" x14ac:dyDescent="0.3"/>
    <row r="639" ht="20.05" customHeight="1" x14ac:dyDescent="0.3"/>
    <row r="640" ht="20.05" customHeight="1" x14ac:dyDescent="0.3"/>
    <row r="641" ht="20.05" customHeight="1" x14ac:dyDescent="0.3"/>
    <row r="642" ht="20.05" customHeight="1" x14ac:dyDescent="0.3"/>
    <row r="643" ht="20.05" customHeight="1" x14ac:dyDescent="0.3"/>
    <row r="644" ht="20.05" customHeight="1" x14ac:dyDescent="0.3"/>
    <row r="645" ht="20.05" customHeight="1" x14ac:dyDescent="0.3"/>
    <row r="646" ht="20.05" customHeight="1" x14ac:dyDescent="0.3"/>
    <row r="647" ht="20.05" customHeight="1" x14ac:dyDescent="0.3"/>
    <row r="648" ht="20.05" customHeight="1" x14ac:dyDescent="0.3"/>
    <row r="649" ht="20.05" customHeight="1" x14ac:dyDescent="0.3"/>
    <row r="650" ht="20.05" customHeight="1" x14ac:dyDescent="0.3"/>
    <row r="651" ht="20.05" customHeight="1" x14ac:dyDescent="0.3"/>
    <row r="652" ht="20.05" customHeight="1" x14ac:dyDescent="0.3"/>
    <row r="653" ht="20.05" customHeight="1" x14ac:dyDescent="0.3"/>
    <row r="654" ht="20.05" customHeight="1" x14ac:dyDescent="0.3"/>
    <row r="655" ht="20.05" customHeight="1" x14ac:dyDescent="0.3"/>
    <row r="656" ht="20.05" customHeight="1" x14ac:dyDescent="0.3"/>
    <row r="657" ht="20.05" customHeight="1" x14ac:dyDescent="0.3"/>
    <row r="658" ht="20.05" customHeight="1" x14ac:dyDescent="0.3"/>
    <row r="659" ht="20.05" customHeight="1" x14ac:dyDescent="0.3"/>
    <row r="660" ht="20.05" customHeight="1" x14ac:dyDescent="0.3"/>
    <row r="661" ht="20.05" customHeight="1" x14ac:dyDescent="0.3"/>
    <row r="662" ht="20.05" customHeight="1" x14ac:dyDescent="0.3"/>
    <row r="663" ht="20.05" customHeight="1" x14ac:dyDescent="0.3"/>
    <row r="664" ht="20.05" customHeight="1" x14ac:dyDescent="0.3"/>
    <row r="665" ht="20.05" customHeight="1" x14ac:dyDescent="0.3"/>
    <row r="666" ht="20.05" customHeight="1" x14ac:dyDescent="0.3"/>
    <row r="667" ht="20.05" customHeight="1" x14ac:dyDescent="0.3"/>
    <row r="668" ht="20.05" customHeight="1" x14ac:dyDescent="0.3"/>
    <row r="669" ht="20.05" customHeight="1" x14ac:dyDescent="0.3"/>
    <row r="670" ht="20.05" customHeight="1" x14ac:dyDescent="0.3"/>
    <row r="671" ht="20.05" customHeight="1" x14ac:dyDescent="0.3"/>
    <row r="672" ht="20.05" customHeight="1" x14ac:dyDescent="0.3"/>
    <row r="673" ht="20.05" customHeight="1" x14ac:dyDescent="0.3"/>
    <row r="674" ht="20.05" customHeight="1" x14ac:dyDescent="0.3"/>
    <row r="675" ht="20.05" customHeight="1" x14ac:dyDescent="0.3"/>
    <row r="676" ht="20.05" customHeight="1" x14ac:dyDescent="0.3"/>
    <row r="677" ht="20.05" customHeight="1" x14ac:dyDescent="0.3"/>
    <row r="678" ht="20.05" customHeight="1" x14ac:dyDescent="0.3"/>
    <row r="679" ht="20.05" customHeight="1" x14ac:dyDescent="0.3"/>
    <row r="680" ht="20.05" customHeight="1" x14ac:dyDescent="0.3"/>
    <row r="681" ht="20.05" customHeight="1" x14ac:dyDescent="0.3"/>
    <row r="682" ht="20.05" customHeight="1" x14ac:dyDescent="0.3"/>
    <row r="683" ht="20.05" customHeight="1" x14ac:dyDescent="0.3"/>
    <row r="684" ht="20.05" customHeight="1" x14ac:dyDescent="0.3"/>
    <row r="685" ht="20.05" customHeight="1" x14ac:dyDescent="0.3"/>
    <row r="686" ht="20.05" customHeight="1" x14ac:dyDescent="0.3"/>
    <row r="687" ht="20.05" customHeight="1" x14ac:dyDescent="0.3"/>
    <row r="688" ht="20.05" customHeight="1" x14ac:dyDescent="0.3"/>
    <row r="689" ht="20.05" customHeight="1" x14ac:dyDescent="0.3"/>
    <row r="690" ht="20.05" customHeight="1" x14ac:dyDescent="0.3"/>
    <row r="691" ht="20.05" customHeight="1" x14ac:dyDescent="0.3"/>
    <row r="692" ht="20.05" customHeight="1" x14ac:dyDescent="0.3"/>
    <row r="693" ht="20.05" customHeight="1" x14ac:dyDescent="0.3"/>
    <row r="694" ht="20.05" customHeight="1" x14ac:dyDescent="0.3"/>
    <row r="695" ht="20.05" customHeight="1" x14ac:dyDescent="0.3"/>
    <row r="696" ht="20.05" customHeight="1" x14ac:dyDescent="0.3"/>
    <row r="697" ht="20.05" customHeight="1" x14ac:dyDescent="0.3"/>
    <row r="698" ht="20.05" customHeight="1" x14ac:dyDescent="0.3"/>
    <row r="699" ht="20.05" customHeight="1" x14ac:dyDescent="0.3"/>
    <row r="700" ht="20.05" customHeight="1" x14ac:dyDescent="0.3"/>
    <row r="701" ht="20.05" customHeight="1" x14ac:dyDescent="0.3"/>
    <row r="702" ht="20.05" customHeight="1" x14ac:dyDescent="0.3"/>
    <row r="703" ht="20.05" customHeight="1" x14ac:dyDescent="0.3"/>
    <row r="704" ht="20.05" customHeight="1" x14ac:dyDescent="0.3"/>
    <row r="705" ht="20.05" customHeight="1" x14ac:dyDescent="0.3"/>
    <row r="706" ht="20.05" customHeight="1" x14ac:dyDescent="0.3"/>
    <row r="707" ht="20.05" customHeight="1" x14ac:dyDescent="0.3"/>
    <row r="708" ht="20.05" customHeight="1" x14ac:dyDescent="0.3"/>
    <row r="709" ht="20.05" customHeight="1" x14ac:dyDescent="0.3"/>
    <row r="710" ht="20.05" customHeight="1" x14ac:dyDescent="0.3"/>
    <row r="711" ht="20.05" customHeight="1" x14ac:dyDescent="0.3"/>
    <row r="712" ht="20.05" customHeight="1" x14ac:dyDescent="0.3"/>
    <row r="713" ht="20.05" customHeight="1" x14ac:dyDescent="0.3"/>
    <row r="714" ht="20.05" customHeight="1" x14ac:dyDescent="0.3"/>
    <row r="715" ht="20.05" customHeight="1" x14ac:dyDescent="0.3"/>
    <row r="716" ht="20.05" customHeight="1" x14ac:dyDescent="0.3"/>
    <row r="717" ht="20.05" customHeight="1" x14ac:dyDescent="0.3"/>
    <row r="718" ht="20.05" customHeight="1" x14ac:dyDescent="0.3"/>
    <row r="719" ht="20.05" customHeight="1" x14ac:dyDescent="0.3"/>
    <row r="720" ht="20.05" customHeight="1" x14ac:dyDescent="0.3"/>
    <row r="721" ht="20.05" customHeight="1" x14ac:dyDescent="0.3"/>
    <row r="722" ht="20.05" customHeight="1" x14ac:dyDescent="0.3"/>
    <row r="723" ht="20.05" customHeight="1" x14ac:dyDescent="0.3"/>
    <row r="724" ht="20.05" customHeight="1" x14ac:dyDescent="0.3"/>
    <row r="725" ht="20.05" customHeight="1" x14ac:dyDescent="0.3"/>
    <row r="726" ht="20.05" customHeight="1" x14ac:dyDescent="0.3"/>
    <row r="727" ht="20.05" customHeight="1" x14ac:dyDescent="0.3"/>
    <row r="728" ht="20.05" customHeight="1" x14ac:dyDescent="0.3"/>
    <row r="729" ht="20.05" customHeight="1" x14ac:dyDescent="0.3"/>
    <row r="730" ht="20.05" customHeight="1" x14ac:dyDescent="0.3"/>
    <row r="731" ht="20.05" customHeight="1" x14ac:dyDescent="0.3"/>
    <row r="732" ht="20.05" customHeight="1" x14ac:dyDescent="0.3"/>
    <row r="733" ht="20.05" customHeight="1" x14ac:dyDescent="0.3"/>
    <row r="734" ht="20.05" customHeight="1" x14ac:dyDescent="0.3"/>
    <row r="735" ht="20.05" customHeight="1" x14ac:dyDescent="0.3"/>
    <row r="736" ht="20.05" customHeight="1" x14ac:dyDescent="0.3"/>
    <row r="737" ht="20.05" customHeight="1" x14ac:dyDescent="0.3"/>
    <row r="738" ht="20.05" customHeight="1" x14ac:dyDescent="0.3"/>
    <row r="739" ht="20.05" customHeight="1" x14ac:dyDescent="0.3"/>
    <row r="740" ht="20.05" customHeight="1" x14ac:dyDescent="0.3"/>
    <row r="741" ht="20.05" customHeight="1" x14ac:dyDescent="0.3"/>
    <row r="742" ht="20.05" customHeight="1" x14ac:dyDescent="0.3"/>
    <row r="743" ht="20.05" customHeight="1" x14ac:dyDescent="0.3"/>
    <row r="744" ht="20.05" customHeight="1" x14ac:dyDescent="0.3"/>
    <row r="745" ht="20.05" customHeight="1" x14ac:dyDescent="0.3"/>
    <row r="746" ht="20.05" customHeight="1" x14ac:dyDescent="0.3"/>
    <row r="747" ht="20.05" customHeight="1" x14ac:dyDescent="0.3"/>
    <row r="748" ht="20.05" customHeight="1" x14ac:dyDescent="0.3"/>
    <row r="749" ht="20.05" customHeight="1" x14ac:dyDescent="0.3"/>
    <row r="750" ht="20.05" customHeight="1" x14ac:dyDescent="0.3"/>
    <row r="751" ht="20.05" customHeight="1" x14ac:dyDescent="0.3"/>
    <row r="752" ht="20.05" customHeight="1" x14ac:dyDescent="0.3"/>
    <row r="753" ht="20.05" customHeight="1" x14ac:dyDescent="0.3"/>
    <row r="754" ht="20.05" customHeight="1" x14ac:dyDescent="0.3"/>
    <row r="755" ht="20.05" customHeight="1" x14ac:dyDescent="0.3"/>
    <row r="756" ht="20.05" customHeight="1" x14ac:dyDescent="0.3"/>
    <row r="757" ht="20.05" customHeight="1" x14ac:dyDescent="0.3"/>
    <row r="758" ht="20.05" customHeight="1" x14ac:dyDescent="0.3"/>
    <row r="759" ht="20.05" customHeight="1" x14ac:dyDescent="0.3"/>
    <row r="760" ht="20.05" customHeight="1" x14ac:dyDescent="0.3"/>
    <row r="761" ht="20.05" customHeight="1" x14ac:dyDescent="0.3"/>
    <row r="762" ht="20.05" customHeight="1" x14ac:dyDescent="0.3"/>
    <row r="763" ht="20.05" customHeight="1" x14ac:dyDescent="0.3"/>
    <row r="764" ht="20.05" customHeight="1" x14ac:dyDescent="0.3"/>
    <row r="765" ht="20.05" customHeight="1" x14ac:dyDescent="0.3"/>
    <row r="766" ht="20.05" customHeight="1" x14ac:dyDescent="0.3"/>
    <row r="767" ht="20.05" customHeight="1" x14ac:dyDescent="0.3"/>
    <row r="768" ht="20.05" customHeight="1" x14ac:dyDescent="0.3"/>
    <row r="769" ht="20.05" customHeight="1" x14ac:dyDescent="0.3"/>
    <row r="770" ht="20.05" customHeight="1" x14ac:dyDescent="0.3"/>
    <row r="771" ht="20.05" customHeight="1" x14ac:dyDescent="0.3"/>
    <row r="772" ht="20.05" customHeight="1" x14ac:dyDescent="0.3"/>
    <row r="773" ht="20.05" customHeight="1" x14ac:dyDescent="0.3"/>
    <row r="774" ht="20.05" customHeight="1" x14ac:dyDescent="0.3"/>
    <row r="775" ht="20.05" customHeight="1" x14ac:dyDescent="0.3"/>
    <row r="776" ht="20.05" customHeight="1" x14ac:dyDescent="0.3"/>
    <row r="777" ht="20.05" customHeight="1" x14ac:dyDescent="0.3"/>
    <row r="778" ht="20.05" customHeight="1" x14ac:dyDescent="0.3"/>
    <row r="779" ht="20.05" customHeight="1" x14ac:dyDescent="0.3"/>
    <row r="780" ht="20.05" customHeight="1" x14ac:dyDescent="0.3"/>
    <row r="781" ht="20.05" customHeight="1" x14ac:dyDescent="0.3"/>
    <row r="782" ht="20.05" customHeight="1" x14ac:dyDescent="0.3"/>
    <row r="783" ht="20.05" customHeight="1" x14ac:dyDescent="0.3"/>
    <row r="784" ht="20.05" customHeight="1" x14ac:dyDescent="0.3"/>
    <row r="785" ht="20.05" customHeight="1" x14ac:dyDescent="0.3"/>
    <row r="786" ht="20.05" customHeight="1" x14ac:dyDescent="0.3"/>
    <row r="787" ht="20.05" customHeight="1" x14ac:dyDescent="0.3"/>
    <row r="788" ht="20.05" customHeight="1" x14ac:dyDescent="0.3"/>
    <row r="789" ht="20.05" customHeight="1" x14ac:dyDescent="0.3"/>
    <row r="790" ht="20.05" customHeight="1" x14ac:dyDescent="0.3"/>
    <row r="791" ht="20.05" customHeight="1" x14ac:dyDescent="0.3"/>
    <row r="792" ht="20.05" customHeight="1" x14ac:dyDescent="0.3"/>
    <row r="793" ht="20.05" customHeight="1" x14ac:dyDescent="0.3"/>
    <row r="794" ht="20.05" customHeight="1" x14ac:dyDescent="0.3"/>
    <row r="795" ht="20.05" customHeight="1" x14ac:dyDescent="0.3"/>
    <row r="796" ht="20.05" customHeight="1" x14ac:dyDescent="0.3"/>
    <row r="797" ht="20.05" customHeight="1" x14ac:dyDescent="0.3"/>
    <row r="798" ht="20.05" customHeight="1" x14ac:dyDescent="0.3"/>
    <row r="799" ht="20.05" customHeight="1" x14ac:dyDescent="0.3"/>
    <row r="800" ht="20.05" customHeight="1" x14ac:dyDescent="0.3"/>
    <row r="801" ht="20.05" customHeight="1" x14ac:dyDescent="0.3"/>
    <row r="802" ht="20.05" customHeight="1" x14ac:dyDescent="0.3"/>
    <row r="803" ht="20.05" customHeight="1" x14ac:dyDescent="0.3"/>
    <row r="804" ht="20.05" customHeight="1" x14ac:dyDescent="0.3"/>
    <row r="805" ht="20.05" customHeight="1" x14ac:dyDescent="0.3"/>
    <row r="806" ht="20.05" customHeight="1" x14ac:dyDescent="0.3"/>
    <row r="807" ht="20.05" customHeight="1" x14ac:dyDescent="0.3"/>
    <row r="808" ht="20.05" customHeight="1" x14ac:dyDescent="0.3"/>
    <row r="809" ht="20.05" customHeight="1" x14ac:dyDescent="0.3"/>
    <row r="810" ht="20.05" customHeight="1" x14ac:dyDescent="0.3"/>
    <row r="811" ht="20.05" customHeight="1" x14ac:dyDescent="0.3"/>
    <row r="812" ht="20.05" customHeight="1" x14ac:dyDescent="0.3"/>
    <row r="813" ht="20.05" customHeight="1" x14ac:dyDescent="0.3"/>
    <row r="814" ht="20.05" customHeight="1" x14ac:dyDescent="0.3"/>
    <row r="815" ht="20.05" customHeight="1" x14ac:dyDescent="0.3"/>
    <row r="816" ht="20.05" customHeight="1" x14ac:dyDescent="0.3"/>
    <row r="817" ht="20.05" customHeight="1" x14ac:dyDescent="0.3"/>
    <row r="818" ht="20.05" customHeight="1" x14ac:dyDescent="0.3"/>
    <row r="819" ht="20.05" customHeight="1" x14ac:dyDescent="0.3"/>
    <row r="820" ht="20.05" customHeight="1" x14ac:dyDescent="0.3"/>
    <row r="821" ht="20.05" customHeight="1" x14ac:dyDescent="0.3"/>
    <row r="822" ht="20.05" customHeight="1" x14ac:dyDescent="0.3"/>
    <row r="823" ht="20.05" customHeight="1" x14ac:dyDescent="0.3"/>
    <row r="824" ht="20.05" customHeight="1" x14ac:dyDescent="0.3"/>
    <row r="825" ht="20.05" customHeight="1" x14ac:dyDescent="0.3"/>
    <row r="826" ht="20.05" customHeight="1" x14ac:dyDescent="0.3"/>
    <row r="827" ht="20.05" customHeight="1" x14ac:dyDescent="0.3"/>
    <row r="828" ht="20.05" customHeight="1" x14ac:dyDescent="0.3"/>
    <row r="829" ht="20.05" customHeight="1" x14ac:dyDescent="0.3"/>
    <row r="830" ht="20.05" customHeight="1" x14ac:dyDescent="0.3"/>
    <row r="831" ht="20.05" customHeight="1" x14ac:dyDescent="0.3"/>
    <row r="832" ht="20.05" customHeight="1" x14ac:dyDescent="0.3"/>
    <row r="833" ht="20.05" customHeight="1" x14ac:dyDescent="0.3"/>
    <row r="834" ht="20.05" customHeight="1" x14ac:dyDescent="0.3"/>
    <row r="835" ht="20.05" customHeight="1" x14ac:dyDescent="0.3"/>
    <row r="836" ht="20.05" customHeight="1" x14ac:dyDescent="0.3"/>
    <row r="837" ht="20.05" customHeight="1" x14ac:dyDescent="0.3"/>
    <row r="838" ht="20.05" customHeight="1" x14ac:dyDescent="0.3"/>
    <row r="839" ht="20.05" customHeight="1" x14ac:dyDescent="0.3"/>
    <row r="840" ht="20.05" customHeight="1" x14ac:dyDescent="0.3"/>
    <row r="841" ht="20.05" customHeight="1" x14ac:dyDescent="0.3"/>
    <row r="842" ht="20.05" customHeight="1" x14ac:dyDescent="0.3"/>
    <row r="843" ht="20.05" customHeight="1" x14ac:dyDescent="0.3"/>
    <row r="844" ht="20.05" customHeight="1" x14ac:dyDescent="0.3"/>
    <row r="845" ht="20.05" customHeight="1" x14ac:dyDescent="0.3"/>
    <row r="846" ht="20.05" customHeight="1" x14ac:dyDescent="0.3"/>
    <row r="847" ht="20.05" customHeight="1" x14ac:dyDescent="0.3"/>
    <row r="848" ht="20.05" customHeight="1" x14ac:dyDescent="0.3"/>
    <row r="849" ht="20.05" customHeight="1" x14ac:dyDescent="0.3"/>
    <row r="850" ht="20.05" customHeight="1" x14ac:dyDescent="0.3"/>
    <row r="851" ht="20.05" customHeight="1" x14ac:dyDescent="0.3"/>
    <row r="852" ht="20.05" customHeight="1" x14ac:dyDescent="0.3"/>
    <row r="853" ht="20.05" customHeight="1" x14ac:dyDescent="0.3"/>
    <row r="854" ht="20.05" customHeight="1" x14ac:dyDescent="0.3"/>
    <row r="855" ht="20.05" customHeight="1" x14ac:dyDescent="0.3"/>
    <row r="856" ht="20.05" customHeight="1" x14ac:dyDescent="0.3"/>
    <row r="857" ht="20.05" customHeight="1" x14ac:dyDescent="0.3"/>
    <row r="858" ht="20.05" customHeight="1" x14ac:dyDescent="0.3"/>
    <row r="859" ht="20.05" customHeight="1" x14ac:dyDescent="0.3"/>
    <row r="860" ht="20.05" customHeight="1" x14ac:dyDescent="0.3"/>
    <row r="861" ht="20.05" customHeight="1" x14ac:dyDescent="0.3"/>
    <row r="862" ht="20.05" customHeight="1" x14ac:dyDescent="0.3"/>
    <row r="863" ht="20.05" customHeight="1" x14ac:dyDescent="0.3"/>
    <row r="864" ht="20.05" customHeight="1" x14ac:dyDescent="0.3"/>
    <row r="865" ht="20.05" customHeight="1" x14ac:dyDescent="0.3"/>
    <row r="866" ht="20.05" customHeight="1" x14ac:dyDescent="0.3"/>
    <row r="867" ht="20.05" customHeight="1" x14ac:dyDescent="0.3"/>
    <row r="868" ht="20.05" customHeight="1" x14ac:dyDescent="0.3"/>
    <row r="869" ht="20.05" customHeight="1" x14ac:dyDescent="0.3"/>
    <row r="870" ht="20.05" customHeight="1" x14ac:dyDescent="0.3"/>
    <row r="871" ht="20.05" customHeight="1" x14ac:dyDescent="0.3"/>
    <row r="872" ht="20.05" customHeight="1" x14ac:dyDescent="0.3"/>
    <row r="873" ht="20.05" customHeight="1" x14ac:dyDescent="0.3"/>
    <row r="874" ht="20.05" customHeight="1" x14ac:dyDescent="0.3"/>
    <row r="875" ht="20.05" customHeight="1" x14ac:dyDescent="0.3"/>
    <row r="876" ht="20.05" customHeight="1" x14ac:dyDescent="0.3"/>
    <row r="877" ht="20.05" customHeight="1" x14ac:dyDescent="0.3"/>
    <row r="878" ht="20.05" customHeight="1" x14ac:dyDescent="0.3"/>
    <row r="879" ht="20.05" customHeight="1" x14ac:dyDescent="0.3"/>
    <row r="880" ht="20.05" customHeight="1" x14ac:dyDescent="0.3"/>
    <row r="881" ht="20.05" customHeight="1" x14ac:dyDescent="0.3"/>
    <row r="882" ht="20.05" customHeight="1" x14ac:dyDescent="0.3"/>
    <row r="883" ht="20.05" customHeight="1" x14ac:dyDescent="0.3"/>
    <row r="884" ht="20.05" customHeight="1" x14ac:dyDescent="0.3"/>
    <row r="885" ht="20.05" customHeight="1" x14ac:dyDescent="0.3"/>
    <row r="886" ht="20.05" customHeight="1" x14ac:dyDescent="0.3"/>
    <row r="887" ht="20.05" customHeight="1" x14ac:dyDescent="0.3"/>
    <row r="888" ht="20.05" customHeight="1" x14ac:dyDescent="0.3"/>
    <row r="889" ht="20.05" customHeight="1" x14ac:dyDescent="0.3"/>
    <row r="890" ht="20.05" customHeight="1" x14ac:dyDescent="0.3"/>
    <row r="891" ht="20.05" customHeight="1" x14ac:dyDescent="0.3"/>
    <row r="892" ht="20.05" customHeight="1" x14ac:dyDescent="0.3"/>
    <row r="893" ht="20.05" customHeight="1" x14ac:dyDescent="0.3"/>
    <row r="894" ht="20.05" customHeight="1" x14ac:dyDescent="0.3"/>
    <row r="895" ht="20.05" customHeight="1" x14ac:dyDescent="0.3"/>
    <row r="896" ht="20.05" customHeight="1" x14ac:dyDescent="0.3"/>
    <row r="897" ht="20.05" customHeight="1" x14ac:dyDescent="0.3"/>
    <row r="898" ht="20.05" customHeight="1" x14ac:dyDescent="0.3"/>
    <row r="899" ht="20.05" customHeight="1" x14ac:dyDescent="0.3"/>
    <row r="900" ht="20.05" customHeight="1" x14ac:dyDescent="0.3"/>
    <row r="901" ht="20.05" customHeight="1" x14ac:dyDescent="0.3"/>
    <row r="902" ht="20.05" customHeight="1" x14ac:dyDescent="0.3"/>
    <row r="903" ht="20.05" customHeight="1" x14ac:dyDescent="0.3"/>
    <row r="904" ht="20.05" customHeight="1" x14ac:dyDescent="0.3"/>
    <row r="905" ht="20.05" customHeight="1" x14ac:dyDescent="0.3"/>
    <row r="906" ht="20.05" customHeight="1" x14ac:dyDescent="0.3"/>
    <row r="907" ht="20.05" customHeight="1" x14ac:dyDescent="0.3"/>
    <row r="908" ht="20.05" customHeight="1" x14ac:dyDescent="0.3"/>
    <row r="909" ht="20.05" customHeight="1" x14ac:dyDescent="0.3"/>
    <row r="910" ht="20.05" customHeight="1" x14ac:dyDescent="0.3"/>
    <row r="911" ht="20.05" customHeight="1" x14ac:dyDescent="0.3"/>
    <row r="912" ht="20.05" customHeight="1" x14ac:dyDescent="0.3"/>
    <row r="913" ht="20.05" customHeight="1" x14ac:dyDescent="0.3"/>
    <row r="914" ht="20.05" customHeight="1" x14ac:dyDescent="0.3"/>
    <row r="915" ht="20.05" customHeight="1" x14ac:dyDescent="0.3"/>
    <row r="916" ht="20.05" customHeight="1" x14ac:dyDescent="0.3"/>
    <row r="917" ht="20.05" customHeight="1" x14ac:dyDescent="0.3"/>
    <row r="918" ht="20.05" customHeight="1" x14ac:dyDescent="0.3"/>
    <row r="919" ht="20.05" customHeight="1" x14ac:dyDescent="0.3"/>
    <row r="920" ht="20.05" customHeight="1" x14ac:dyDescent="0.3"/>
    <row r="921" ht="20.05" customHeight="1" x14ac:dyDescent="0.3"/>
    <row r="922" ht="20.05" customHeight="1" x14ac:dyDescent="0.3"/>
    <row r="923" ht="20.05" customHeight="1" x14ac:dyDescent="0.3"/>
    <row r="924" ht="20.05" customHeight="1" x14ac:dyDescent="0.3"/>
    <row r="925" ht="20.05" customHeight="1" x14ac:dyDescent="0.3"/>
    <row r="926" ht="20.05" customHeight="1" x14ac:dyDescent="0.3"/>
    <row r="927" ht="20.05" customHeight="1" x14ac:dyDescent="0.3"/>
    <row r="928" ht="20.05" customHeight="1" x14ac:dyDescent="0.3"/>
    <row r="929" ht="20.05" customHeight="1" x14ac:dyDescent="0.3"/>
    <row r="930" ht="20.05" customHeight="1" x14ac:dyDescent="0.3"/>
    <row r="931" ht="20.05" customHeight="1" x14ac:dyDescent="0.3"/>
    <row r="932" ht="20.05" customHeight="1" x14ac:dyDescent="0.3"/>
    <row r="933" ht="20.05" customHeight="1" x14ac:dyDescent="0.3"/>
    <row r="934" ht="20.05" customHeight="1" x14ac:dyDescent="0.3"/>
    <row r="935" ht="20.05" customHeight="1" x14ac:dyDescent="0.3"/>
    <row r="936" ht="20.05" customHeight="1" x14ac:dyDescent="0.3"/>
    <row r="937" ht="20.05" customHeight="1" x14ac:dyDescent="0.3"/>
    <row r="938" ht="20.05" customHeight="1" x14ac:dyDescent="0.3"/>
    <row r="939" ht="20.05" customHeight="1" x14ac:dyDescent="0.3"/>
    <row r="940" ht="20.05" customHeight="1" x14ac:dyDescent="0.3"/>
    <row r="941" ht="20.05" customHeight="1" x14ac:dyDescent="0.3"/>
    <row r="942" ht="20.05" customHeight="1" x14ac:dyDescent="0.3"/>
    <row r="943" ht="20.05" customHeight="1" x14ac:dyDescent="0.3"/>
    <row r="944" ht="20.05" customHeight="1" x14ac:dyDescent="0.3"/>
    <row r="945" ht="20.05" customHeight="1" x14ac:dyDescent="0.3"/>
    <row r="946" ht="20.05" customHeight="1" x14ac:dyDescent="0.3"/>
    <row r="947" ht="20.05" customHeight="1" x14ac:dyDescent="0.3"/>
    <row r="948" ht="20.05" customHeight="1" x14ac:dyDescent="0.3"/>
    <row r="949" ht="20.05" customHeight="1" x14ac:dyDescent="0.3"/>
    <row r="950" ht="20.05" customHeight="1" x14ac:dyDescent="0.3"/>
    <row r="951" ht="20.05" customHeight="1" x14ac:dyDescent="0.3"/>
    <row r="952" ht="20.05" customHeight="1" x14ac:dyDescent="0.3"/>
    <row r="953" ht="20.05" customHeight="1" x14ac:dyDescent="0.3"/>
    <row r="954" ht="20.05" customHeight="1" x14ac:dyDescent="0.3"/>
    <row r="955" ht="20.05" customHeight="1" x14ac:dyDescent="0.3"/>
    <row r="956" ht="20.05" customHeight="1" x14ac:dyDescent="0.3"/>
    <row r="957" ht="20.05" customHeight="1" x14ac:dyDescent="0.3"/>
    <row r="958" ht="20.05" customHeight="1" x14ac:dyDescent="0.3"/>
    <row r="959" ht="20.05" customHeight="1" x14ac:dyDescent="0.3"/>
    <row r="960" ht="20.05" customHeight="1" x14ac:dyDescent="0.3"/>
    <row r="961" ht="20.05" customHeight="1" x14ac:dyDescent="0.3"/>
    <row r="962" ht="20.05" customHeight="1" x14ac:dyDescent="0.3"/>
    <row r="963" ht="20.05" customHeight="1" x14ac:dyDescent="0.3"/>
    <row r="964" ht="20.05" customHeight="1" x14ac:dyDescent="0.3"/>
    <row r="965" ht="20.05" customHeight="1" x14ac:dyDescent="0.3"/>
    <row r="966" ht="20.05" customHeight="1" x14ac:dyDescent="0.3"/>
    <row r="967" ht="20.05" customHeight="1" x14ac:dyDescent="0.3"/>
    <row r="968" ht="20.05" customHeight="1" x14ac:dyDescent="0.3"/>
    <row r="969" ht="20.05" customHeight="1" x14ac:dyDescent="0.3"/>
    <row r="970" ht="20.05" customHeight="1" x14ac:dyDescent="0.3"/>
    <row r="971" ht="20.05" customHeight="1" x14ac:dyDescent="0.3"/>
    <row r="972" ht="20.05" customHeight="1" x14ac:dyDescent="0.3"/>
    <row r="973" ht="20.05" customHeight="1" x14ac:dyDescent="0.3"/>
    <row r="974" ht="20.05" customHeight="1" x14ac:dyDescent="0.3"/>
    <row r="975" ht="20.05" customHeight="1" x14ac:dyDescent="0.3"/>
    <row r="976" ht="20.05" customHeight="1" x14ac:dyDescent="0.3"/>
    <row r="977" ht="20.05" customHeight="1" x14ac:dyDescent="0.3"/>
    <row r="978" ht="20.05" customHeight="1" x14ac:dyDescent="0.3"/>
    <row r="979" ht="20.05" customHeight="1" x14ac:dyDescent="0.3"/>
    <row r="980" ht="20.05" customHeight="1" x14ac:dyDescent="0.3"/>
    <row r="981" ht="20.05" customHeight="1" x14ac:dyDescent="0.3"/>
    <row r="982" ht="20.05" customHeight="1" x14ac:dyDescent="0.3"/>
    <row r="983" ht="20.05" customHeight="1" x14ac:dyDescent="0.3"/>
    <row r="984" ht="20.05" customHeight="1" x14ac:dyDescent="0.3"/>
    <row r="985" ht="20.05" customHeight="1" x14ac:dyDescent="0.3"/>
    <row r="986" ht="20.05" customHeight="1" x14ac:dyDescent="0.3"/>
    <row r="987" ht="20.05" customHeight="1" x14ac:dyDescent="0.3"/>
    <row r="988" ht="20.05" customHeight="1" x14ac:dyDescent="0.3"/>
    <row r="989" ht="20.05" customHeight="1" x14ac:dyDescent="0.3"/>
    <row r="990" ht="20.05" customHeight="1" x14ac:dyDescent="0.3"/>
    <row r="991" ht="20.05" customHeight="1" x14ac:dyDescent="0.3"/>
    <row r="992" ht="20.05" customHeight="1" x14ac:dyDescent="0.3"/>
    <row r="993" ht="20.05" customHeight="1" x14ac:dyDescent="0.3"/>
    <row r="994" ht="20.05" customHeight="1" x14ac:dyDescent="0.3"/>
    <row r="995" ht="20.05" customHeight="1" x14ac:dyDescent="0.3"/>
    <row r="996" ht="20.05" customHeight="1" x14ac:dyDescent="0.3"/>
    <row r="997" ht="20.05" customHeight="1" x14ac:dyDescent="0.3"/>
    <row r="998" ht="20.05" customHeight="1" x14ac:dyDescent="0.3"/>
    <row r="999" ht="20.05" customHeight="1" x14ac:dyDescent="0.3"/>
    <row r="1000" ht="20.05" customHeight="1" x14ac:dyDescent="0.3"/>
    <row r="1001" ht="20.05" customHeight="1" x14ac:dyDescent="0.3"/>
    <row r="1002" ht="20.05" customHeight="1" x14ac:dyDescent="0.3"/>
    <row r="1003" ht="20.05" customHeight="1" x14ac:dyDescent="0.3"/>
    <row r="1004" ht="20.05" customHeight="1" x14ac:dyDescent="0.3"/>
    <row r="1005" ht="20.05" customHeight="1" x14ac:dyDescent="0.3"/>
    <row r="1006" ht="20.05" customHeight="1" x14ac:dyDescent="0.3"/>
    <row r="1007" ht="20.05" customHeight="1" x14ac:dyDescent="0.3"/>
    <row r="1008" ht="20.05" customHeight="1" x14ac:dyDescent="0.3"/>
    <row r="1009" ht="20.05" customHeight="1" x14ac:dyDescent="0.3"/>
    <row r="1010" ht="20.05" customHeight="1" x14ac:dyDescent="0.3"/>
    <row r="1011" ht="20.05" customHeight="1" x14ac:dyDescent="0.3"/>
    <row r="1012" ht="20.05" customHeight="1" x14ac:dyDescent="0.3"/>
    <row r="1013" ht="20.05" customHeight="1" x14ac:dyDescent="0.3"/>
    <row r="1014" ht="20.05" customHeight="1" x14ac:dyDescent="0.3"/>
    <row r="1015" ht="20.05" customHeight="1" x14ac:dyDescent="0.3"/>
    <row r="1016" ht="20.05" customHeight="1" x14ac:dyDescent="0.3"/>
    <row r="1017" ht="20.05" customHeight="1" x14ac:dyDescent="0.3"/>
    <row r="1018" ht="20.05" customHeight="1" x14ac:dyDescent="0.3"/>
    <row r="1019" ht="20.05" customHeight="1" x14ac:dyDescent="0.3"/>
    <row r="1020" ht="20.05" customHeight="1" x14ac:dyDescent="0.3"/>
    <row r="1021" ht="20.05" customHeight="1" x14ac:dyDescent="0.3"/>
    <row r="1022" ht="20.05" customHeight="1" x14ac:dyDescent="0.3"/>
    <row r="1023" ht="20.05" customHeight="1" x14ac:dyDescent="0.3"/>
    <row r="1024" ht="20.05" customHeight="1" x14ac:dyDescent="0.3"/>
    <row r="1025" ht="20.05" customHeight="1" x14ac:dyDescent="0.3"/>
    <row r="1026" ht="20.05" customHeight="1" x14ac:dyDescent="0.3"/>
    <row r="1027" ht="20.05" customHeight="1" x14ac:dyDescent="0.3"/>
    <row r="1028" ht="20.05" customHeight="1" x14ac:dyDescent="0.3"/>
    <row r="1029" ht="20.05" customHeight="1" x14ac:dyDescent="0.3"/>
    <row r="1030" ht="20.05" customHeight="1" x14ac:dyDescent="0.3"/>
    <row r="1031" ht="20.05" customHeight="1" x14ac:dyDescent="0.3"/>
    <row r="1032" ht="20.05" customHeight="1" x14ac:dyDescent="0.3"/>
    <row r="1033" ht="20.05" customHeight="1" x14ac:dyDescent="0.3"/>
    <row r="1034" ht="20.05" customHeight="1" x14ac:dyDescent="0.3"/>
    <row r="1035" ht="20.05" customHeight="1" x14ac:dyDescent="0.3"/>
    <row r="1036" ht="20.05" customHeight="1" x14ac:dyDescent="0.3"/>
    <row r="1037" ht="20.05" customHeight="1" x14ac:dyDescent="0.3"/>
    <row r="1038" ht="20.05" customHeight="1" x14ac:dyDescent="0.3"/>
    <row r="1039" ht="20.05" customHeight="1" x14ac:dyDescent="0.3"/>
    <row r="1040" ht="20.05" customHeight="1" x14ac:dyDescent="0.3"/>
    <row r="1041" ht="20.05" customHeight="1" x14ac:dyDescent="0.3"/>
    <row r="1042" ht="20.05" customHeight="1" x14ac:dyDescent="0.3"/>
    <row r="1043" ht="20.05" customHeight="1" x14ac:dyDescent="0.3"/>
    <row r="1044" ht="20.05" customHeight="1" x14ac:dyDescent="0.3"/>
    <row r="1045" ht="20.05" customHeight="1" x14ac:dyDescent="0.3"/>
    <row r="1046" ht="20.05" customHeight="1" x14ac:dyDescent="0.3"/>
    <row r="1047" ht="20.05" customHeight="1" x14ac:dyDescent="0.3"/>
    <row r="1048" ht="20.05" customHeight="1" x14ac:dyDescent="0.3"/>
    <row r="1049" ht="20.05" customHeight="1" x14ac:dyDescent="0.3"/>
    <row r="1050" ht="20.05" customHeight="1" x14ac:dyDescent="0.3"/>
    <row r="1051" ht="20.05" customHeight="1" x14ac:dyDescent="0.3"/>
    <row r="1052" ht="20.05" customHeight="1" x14ac:dyDescent="0.3"/>
    <row r="1053" ht="20.05" customHeight="1" x14ac:dyDescent="0.3"/>
    <row r="1054" ht="20.05" customHeight="1" x14ac:dyDescent="0.3"/>
    <row r="1055" ht="20.05" customHeight="1" x14ac:dyDescent="0.3"/>
    <row r="1056" ht="20.05" customHeight="1" x14ac:dyDescent="0.3"/>
    <row r="1057" ht="20.05" customHeight="1" x14ac:dyDescent="0.3"/>
    <row r="1058" ht="20.05" customHeight="1" x14ac:dyDescent="0.3"/>
    <row r="1059" ht="20.05" customHeight="1" x14ac:dyDescent="0.3"/>
    <row r="1060" ht="20.05" customHeight="1" x14ac:dyDescent="0.3"/>
    <row r="1061" ht="20.05" customHeight="1" x14ac:dyDescent="0.3"/>
    <row r="1062" ht="20.05" customHeight="1" x14ac:dyDescent="0.3"/>
    <row r="1063" ht="20.05" customHeight="1" x14ac:dyDescent="0.3"/>
    <row r="1064" ht="20.05" customHeight="1" x14ac:dyDescent="0.3"/>
    <row r="1065" ht="20.05" customHeight="1" x14ac:dyDescent="0.3"/>
    <row r="1066" ht="20.05" customHeight="1" x14ac:dyDescent="0.3"/>
    <row r="1067" ht="20.05" customHeight="1" x14ac:dyDescent="0.3"/>
    <row r="1068" ht="20.05" customHeight="1" x14ac:dyDescent="0.3"/>
    <row r="1069" ht="20.05" customHeight="1" x14ac:dyDescent="0.3"/>
    <row r="1070" ht="20.05" customHeight="1" x14ac:dyDescent="0.3"/>
    <row r="1071" ht="20.05" customHeight="1" x14ac:dyDescent="0.3"/>
    <row r="1072" ht="20.05" customHeight="1" x14ac:dyDescent="0.3"/>
    <row r="1073" ht="20.05" customHeight="1" x14ac:dyDescent="0.3"/>
    <row r="1074" ht="20.05" customHeight="1" x14ac:dyDescent="0.3"/>
    <row r="1075" ht="20.05" customHeight="1" x14ac:dyDescent="0.3"/>
    <row r="1076" ht="20.05" customHeight="1" x14ac:dyDescent="0.3"/>
    <row r="1077" ht="20.05" customHeight="1" x14ac:dyDescent="0.3"/>
    <row r="1078" ht="20.05" customHeight="1" x14ac:dyDescent="0.3"/>
    <row r="1079" ht="20.05" customHeight="1" x14ac:dyDescent="0.3"/>
    <row r="1080" ht="20.05" customHeight="1" x14ac:dyDescent="0.3"/>
    <row r="1081" ht="20.05" customHeight="1" x14ac:dyDescent="0.3"/>
    <row r="1082" ht="20.05" customHeight="1" x14ac:dyDescent="0.3"/>
    <row r="1083" ht="20.05" customHeight="1" x14ac:dyDescent="0.3"/>
    <row r="1084" ht="20.05" customHeight="1" x14ac:dyDescent="0.3"/>
    <row r="1085" ht="20.05" customHeight="1" x14ac:dyDescent="0.3"/>
    <row r="1086" ht="20.05" customHeight="1" x14ac:dyDescent="0.3"/>
    <row r="1087" ht="20.05" customHeight="1" x14ac:dyDescent="0.3"/>
    <row r="1088" ht="20.05" customHeight="1" x14ac:dyDescent="0.3"/>
    <row r="1089" ht="20.05" customHeight="1" x14ac:dyDescent="0.3"/>
    <row r="1090" ht="20.05" customHeight="1" x14ac:dyDescent="0.3"/>
    <row r="1091" ht="20.05" customHeight="1" x14ac:dyDescent="0.3"/>
    <row r="1092" ht="20.05" customHeight="1" x14ac:dyDescent="0.3"/>
    <row r="1093" ht="20.05" customHeight="1" x14ac:dyDescent="0.3"/>
    <row r="1094" ht="20.05" customHeight="1" x14ac:dyDescent="0.3"/>
    <row r="1095" ht="20.05" customHeight="1" x14ac:dyDescent="0.3"/>
    <row r="1096" ht="20.05" customHeight="1" x14ac:dyDescent="0.3"/>
    <row r="1097" ht="20.05" customHeight="1" x14ac:dyDescent="0.3"/>
    <row r="1098" ht="20.05" customHeight="1" x14ac:dyDescent="0.3"/>
    <row r="1099" ht="20.05" customHeight="1" x14ac:dyDescent="0.3"/>
    <row r="1100" ht="20.05" customHeight="1" x14ac:dyDescent="0.3"/>
    <row r="1101" ht="20.05" customHeight="1" x14ac:dyDescent="0.3"/>
    <row r="1102" ht="20.05" customHeight="1" x14ac:dyDescent="0.3"/>
    <row r="1103" ht="20.05" customHeight="1" x14ac:dyDescent="0.3"/>
    <row r="1104" ht="20.05" customHeight="1" x14ac:dyDescent="0.3"/>
    <row r="1105" ht="20.05" customHeight="1" x14ac:dyDescent="0.3"/>
    <row r="1106" ht="20.05" customHeight="1" x14ac:dyDescent="0.3"/>
    <row r="1107" ht="20.05" customHeight="1" x14ac:dyDescent="0.3"/>
    <row r="1108" ht="20.05" customHeight="1" x14ac:dyDescent="0.3"/>
    <row r="1109" ht="20.05" customHeight="1" x14ac:dyDescent="0.3"/>
    <row r="1110" ht="20.05" customHeight="1" x14ac:dyDescent="0.3"/>
    <row r="1111" ht="20.05" customHeight="1" x14ac:dyDescent="0.3"/>
    <row r="1112" ht="20.05" customHeight="1" x14ac:dyDescent="0.3"/>
    <row r="1113" ht="20.05" customHeight="1" x14ac:dyDescent="0.3"/>
    <row r="1114" ht="20.05" customHeight="1" x14ac:dyDescent="0.3"/>
    <row r="1115" ht="20.05" customHeight="1" x14ac:dyDescent="0.3"/>
    <row r="1116" ht="20.05" customHeight="1" x14ac:dyDescent="0.3"/>
    <row r="1117" ht="20.05" customHeight="1" x14ac:dyDescent="0.3"/>
    <row r="1118" ht="20.05" customHeight="1" x14ac:dyDescent="0.3"/>
    <row r="1119" ht="20.05" customHeight="1" x14ac:dyDescent="0.3"/>
    <row r="1120" ht="20.05" customHeight="1" x14ac:dyDescent="0.3"/>
    <row r="1121" ht="20.05" customHeight="1" x14ac:dyDescent="0.3"/>
    <row r="1122" ht="20.05" customHeight="1" x14ac:dyDescent="0.3"/>
    <row r="1123" ht="20.05" customHeight="1" x14ac:dyDescent="0.3"/>
    <row r="1124" ht="20.05" customHeight="1" x14ac:dyDescent="0.3"/>
    <row r="1125" ht="20.05" customHeight="1" x14ac:dyDescent="0.3"/>
    <row r="1126" ht="20.05" customHeight="1" x14ac:dyDescent="0.3"/>
    <row r="1127" ht="20.05" customHeight="1" x14ac:dyDescent="0.3"/>
    <row r="1128" ht="20.05" customHeight="1" x14ac:dyDescent="0.3"/>
    <row r="1129" ht="20.05" customHeight="1" x14ac:dyDescent="0.3"/>
    <row r="1130" ht="20.05" customHeight="1" x14ac:dyDescent="0.3"/>
    <row r="1131" ht="20.05" customHeight="1" x14ac:dyDescent="0.3"/>
    <row r="1132" ht="20.05" customHeight="1" x14ac:dyDescent="0.3"/>
    <row r="1133" ht="20.05" customHeight="1" x14ac:dyDescent="0.3"/>
    <row r="1134" ht="20.05" customHeight="1" x14ac:dyDescent="0.3"/>
    <row r="1135" ht="20.05" customHeight="1" x14ac:dyDescent="0.3"/>
    <row r="1136" ht="20.05" customHeight="1" x14ac:dyDescent="0.3"/>
    <row r="1137" ht="20.05" customHeight="1" x14ac:dyDescent="0.3"/>
    <row r="1138" ht="20.05" customHeight="1" x14ac:dyDescent="0.3"/>
    <row r="1139" ht="20.05" customHeight="1" x14ac:dyDescent="0.3"/>
    <row r="1140" ht="20.05" customHeight="1" x14ac:dyDescent="0.3"/>
    <row r="1141" ht="20.05" customHeight="1" x14ac:dyDescent="0.3"/>
    <row r="1142" ht="20.05" customHeight="1" x14ac:dyDescent="0.3"/>
    <row r="1143" ht="20.05" customHeight="1" x14ac:dyDescent="0.3"/>
    <row r="1144" ht="20.05" customHeight="1" x14ac:dyDescent="0.3"/>
    <row r="1145" ht="20.05" customHeight="1" x14ac:dyDescent="0.3"/>
    <row r="1146" ht="20.05" customHeight="1" x14ac:dyDescent="0.3"/>
    <row r="1147" ht="20.05" customHeight="1" x14ac:dyDescent="0.3"/>
    <row r="1148" ht="20.05" customHeight="1" x14ac:dyDescent="0.3"/>
    <row r="1149" ht="20.05" customHeight="1" x14ac:dyDescent="0.3"/>
    <row r="1150" ht="20.05" customHeight="1" x14ac:dyDescent="0.3"/>
    <row r="1151" ht="20.05" customHeight="1" x14ac:dyDescent="0.3"/>
    <row r="1152" ht="20.05" customHeight="1" x14ac:dyDescent="0.3"/>
    <row r="1153" ht="20.05" customHeight="1" x14ac:dyDescent="0.3"/>
    <row r="1154" ht="20.05" customHeight="1" x14ac:dyDescent="0.3"/>
    <row r="1155" ht="20.05" customHeight="1" x14ac:dyDescent="0.3"/>
    <row r="1156" ht="20.05" customHeight="1" x14ac:dyDescent="0.3"/>
    <row r="1157" ht="20.05" customHeight="1" x14ac:dyDescent="0.3"/>
    <row r="1158" ht="20.05" customHeight="1" x14ac:dyDescent="0.3"/>
    <row r="1159" ht="20.05" customHeight="1" x14ac:dyDescent="0.3"/>
    <row r="1160" ht="20.05" customHeight="1" x14ac:dyDescent="0.3"/>
    <row r="1161" ht="20.05" customHeight="1" x14ac:dyDescent="0.3"/>
    <row r="1162" ht="20.05" customHeight="1" x14ac:dyDescent="0.3"/>
    <row r="1163" ht="20.05" customHeight="1" x14ac:dyDescent="0.3"/>
    <row r="1164" ht="20.05" customHeight="1" x14ac:dyDescent="0.3"/>
    <row r="1165" ht="20.05" customHeight="1" x14ac:dyDescent="0.3"/>
    <row r="1166" ht="20.05" customHeight="1" x14ac:dyDescent="0.3"/>
    <row r="1167" ht="20.05" customHeight="1" x14ac:dyDescent="0.3"/>
    <row r="1168" ht="20.05" customHeight="1" x14ac:dyDescent="0.3"/>
    <row r="1169" ht="20.05" customHeight="1" x14ac:dyDescent="0.3"/>
    <row r="1170" ht="20.05" customHeight="1" x14ac:dyDescent="0.3"/>
    <row r="1171" ht="20.05" customHeight="1" x14ac:dyDescent="0.3"/>
    <row r="1172" ht="20.05" customHeight="1" x14ac:dyDescent="0.3"/>
    <row r="1173" ht="20.05" customHeight="1" x14ac:dyDescent="0.3"/>
    <row r="1174" ht="20.05" customHeight="1" x14ac:dyDescent="0.3"/>
    <row r="1175" ht="20.05" customHeight="1" x14ac:dyDescent="0.3"/>
    <row r="1176" ht="20.05" customHeight="1" x14ac:dyDescent="0.3"/>
    <row r="1177" ht="20.05" customHeight="1" x14ac:dyDescent="0.3"/>
    <row r="1178" ht="20.05" customHeight="1" x14ac:dyDescent="0.3"/>
    <row r="1179" ht="20.05" customHeight="1" x14ac:dyDescent="0.3"/>
    <row r="1180" ht="20.05" customHeight="1" x14ac:dyDescent="0.3"/>
    <row r="1181" ht="20.05" customHeight="1" x14ac:dyDescent="0.3"/>
    <row r="1182" ht="20.05" customHeight="1" x14ac:dyDescent="0.3"/>
    <row r="1183" ht="20.05" customHeight="1" x14ac:dyDescent="0.3"/>
    <row r="1184" ht="20.05" customHeight="1" x14ac:dyDescent="0.3"/>
    <row r="1185" ht="20.05" customHeight="1" x14ac:dyDescent="0.3"/>
    <row r="1186" ht="20.05" customHeight="1" x14ac:dyDescent="0.3"/>
    <row r="1187" ht="20.05" customHeight="1" x14ac:dyDescent="0.3"/>
    <row r="1188" ht="20.05" customHeight="1" x14ac:dyDescent="0.3"/>
    <row r="1189" ht="20.05" customHeight="1" x14ac:dyDescent="0.3"/>
    <row r="1190" ht="20.05" customHeight="1" x14ac:dyDescent="0.3"/>
    <row r="1191" ht="20.05" customHeight="1" x14ac:dyDescent="0.3"/>
    <row r="1192" ht="20.05" customHeight="1" x14ac:dyDescent="0.3"/>
    <row r="1193" ht="20.05" customHeight="1" x14ac:dyDescent="0.3"/>
    <row r="1194" ht="20.05" customHeight="1" x14ac:dyDescent="0.3"/>
    <row r="1195" ht="20.05" customHeight="1" x14ac:dyDescent="0.3"/>
    <row r="1196" ht="20.05" customHeight="1" x14ac:dyDescent="0.3"/>
    <row r="1197" ht="20.05" customHeight="1" x14ac:dyDescent="0.3"/>
    <row r="1198" ht="20.05" customHeight="1" x14ac:dyDescent="0.3"/>
    <row r="1199" ht="20.05" customHeight="1" x14ac:dyDescent="0.3"/>
    <row r="1200" ht="20.05" customHeight="1" x14ac:dyDescent="0.3"/>
    <row r="1201" ht="20.05" customHeight="1" x14ac:dyDescent="0.3"/>
    <row r="1202" ht="20.05" customHeight="1" x14ac:dyDescent="0.3"/>
    <row r="1203" ht="20.05" customHeight="1" x14ac:dyDescent="0.3"/>
    <row r="1204" ht="20.05" customHeight="1" x14ac:dyDescent="0.3"/>
    <row r="1205" ht="20.05" customHeight="1" x14ac:dyDescent="0.3"/>
    <row r="1206" ht="20.05" customHeight="1" x14ac:dyDescent="0.3"/>
    <row r="1207" ht="20.05" customHeight="1" x14ac:dyDescent="0.3"/>
    <row r="1208" ht="20.05" customHeight="1" x14ac:dyDescent="0.3"/>
    <row r="1209" ht="20.05" customHeight="1" x14ac:dyDescent="0.3"/>
    <row r="1210" ht="20.05" customHeight="1" x14ac:dyDescent="0.3"/>
    <row r="1211" ht="20.05" customHeight="1" x14ac:dyDescent="0.3"/>
    <row r="1212" ht="20.05" customHeight="1" x14ac:dyDescent="0.3"/>
    <row r="1213" ht="20.05" customHeight="1" x14ac:dyDescent="0.3"/>
    <row r="1214" ht="20.05" customHeight="1" x14ac:dyDescent="0.3"/>
    <row r="1215" ht="20.05" customHeight="1" x14ac:dyDescent="0.3"/>
    <row r="1216" ht="20.05" customHeight="1" x14ac:dyDescent="0.3"/>
    <row r="1217" ht="20.05" customHeight="1" x14ac:dyDescent="0.3"/>
    <row r="1218" ht="20.05" customHeight="1" x14ac:dyDescent="0.3"/>
    <row r="1219" ht="20.05" customHeight="1" x14ac:dyDescent="0.3"/>
    <row r="1220" ht="20.05" customHeight="1" x14ac:dyDescent="0.3"/>
    <row r="1221" ht="20.05" customHeight="1" x14ac:dyDescent="0.3"/>
    <row r="1222" ht="20.05" customHeight="1" x14ac:dyDescent="0.3"/>
    <row r="1223" ht="20.05" customHeight="1" x14ac:dyDescent="0.3"/>
    <row r="1224" ht="20.05" customHeight="1" x14ac:dyDescent="0.3"/>
    <row r="1225" ht="20.05" customHeight="1" x14ac:dyDescent="0.3"/>
    <row r="1226" ht="20.05" customHeight="1" x14ac:dyDescent="0.3"/>
    <row r="1227" ht="20.05" customHeight="1" x14ac:dyDescent="0.3"/>
    <row r="1228" ht="20.05" customHeight="1" x14ac:dyDescent="0.3"/>
    <row r="1229" ht="20.05" customHeight="1" x14ac:dyDescent="0.3"/>
    <row r="1230" ht="20.05" customHeight="1" x14ac:dyDescent="0.3"/>
    <row r="1231" ht="20.05" customHeight="1" x14ac:dyDescent="0.3"/>
    <row r="1232" ht="20.05" customHeight="1" x14ac:dyDescent="0.3"/>
    <row r="1233" ht="20.05" customHeight="1" x14ac:dyDescent="0.3"/>
    <row r="1234" ht="20.05" customHeight="1" x14ac:dyDescent="0.3"/>
    <row r="1235" ht="20.05" customHeight="1" x14ac:dyDescent="0.3"/>
    <row r="1236" ht="20.05" customHeight="1" x14ac:dyDescent="0.3"/>
    <row r="1237" ht="20.05" customHeight="1" x14ac:dyDescent="0.3"/>
    <row r="1238" ht="20.05" customHeight="1" x14ac:dyDescent="0.3"/>
    <row r="1239" ht="20.05" customHeight="1" x14ac:dyDescent="0.3"/>
    <row r="1240" ht="20.05" customHeight="1" x14ac:dyDescent="0.3"/>
    <row r="1241" ht="20.05" customHeight="1" x14ac:dyDescent="0.3"/>
    <row r="1242" ht="20.05" customHeight="1" x14ac:dyDescent="0.3"/>
    <row r="1243" ht="20.05" customHeight="1" x14ac:dyDescent="0.3"/>
    <row r="1244" ht="20.05" customHeight="1" x14ac:dyDescent="0.3"/>
    <row r="1245" ht="20.05" customHeight="1" x14ac:dyDescent="0.3"/>
    <row r="1246" ht="20.05" customHeight="1" x14ac:dyDescent="0.3"/>
    <row r="1247" ht="20.05" customHeight="1" x14ac:dyDescent="0.3"/>
    <row r="1248" ht="20.05" customHeight="1" x14ac:dyDescent="0.3"/>
    <row r="1249" ht="20.05" customHeight="1" x14ac:dyDescent="0.3"/>
    <row r="1250" ht="20.05" customHeight="1" x14ac:dyDescent="0.3"/>
    <row r="1251" ht="20.05" customHeight="1" x14ac:dyDescent="0.3"/>
    <row r="1252" ht="20.05" customHeight="1" x14ac:dyDescent="0.3"/>
    <row r="1253" ht="20.05" customHeight="1" x14ac:dyDescent="0.3"/>
    <row r="1254" ht="20.05" customHeight="1" x14ac:dyDescent="0.3"/>
    <row r="1255" ht="20.05" customHeight="1" x14ac:dyDescent="0.3"/>
    <row r="1256" ht="20.05" customHeight="1" x14ac:dyDescent="0.3"/>
    <row r="1257" ht="20.05" customHeight="1" x14ac:dyDescent="0.3"/>
    <row r="1258" ht="20.05" customHeight="1" x14ac:dyDescent="0.3"/>
    <row r="1259" ht="20.05" customHeight="1" x14ac:dyDescent="0.3"/>
    <row r="1260" ht="20.05" customHeight="1" x14ac:dyDescent="0.3"/>
    <row r="1261" ht="20.05" customHeight="1" x14ac:dyDescent="0.3"/>
    <row r="1262" ht="20.05" customHeight="1" x14ac:dyDescent="0.3"/>
    <row r="1263" ht="20.05" customHeight="1" x14ac:dyDescent="0.3"/>
    <row r="1264" ht="20.05" customHeight="1" x14ac:dyDescent="0.3"/>
    <row r="1265" ht="20.05" customHeight="1" x14ac:dyDescent="0.3"/>
    <row r="1266" ht="20.05" customHeight="1" x14ac:dyDescent="0.3"/>
    <row r="1267" ht="20.05" customHeight="1" x14ac:dyDescent="0.3"/>
    <row r="1268" ht="20.05" customHeight="1" x14ac:dyDescent="0.3"/>
    <row r="1269" ht="20.05" customHeight="1" x14ac:dyDescent="0.3"/>
    <row r="1270" ht="20.05" customHeight="1" x14ac:dyDescent="0.3"/>
    <row r="1271" ht="20.05" customHeight="1" x14ac:dyDescent="0.3"/>
    <row r="1272" ht="20.05" customHeight="1" x14ac:dyDescent="0.3"/>
    <row r="1273" ht="20.05" customHeight="1" x14ac:dyDescent="0.3"/>
    <row r="1274" ht="20.05" customHeight="1" x14ac:dyDescent="0.3"/>
    <row r="1275" ht="20.05" customHeight="1" x14ac:dyDescent="0.3"/>
    <row r="1276" ht="20.05" customHeight="1" x14ac:dyDescent="0.3"/>
    <row r="1277" ht="20.05" customHeight="1" x14ac:dyDescent="0.3"/>
    <row r="1278" ht="20.05" customHeight="1" x14ac:dyDescent="0.3"/>
    <row r="1279" ht="20.05" customHeight="1" x14ac:dyDescent="0.3"/>
    <row r="1280" ht="20.05" customHeight="1" x14ac:dyDescent="0.3"/>
    <row r="1281" ht="20.05" customHeight="1" x14ac:dyDescent="0.3"/>
    <row r="1282" ht="20.05" customHeight="1" x14ac:dyDescent="0.3"/>
    <row r="1283" ht="20.05" customHeight="1" x14ac:dyDescent="0.3"/>
    <row r="1284" ht="20.05" customHeight="1" x14ac:dyDescent="0.3"/>
    <row r="1285" ht="20.05" customHeight="1" x14ac:dyDescent="0.3"/>
    <row r="1286" ht="20.05" customHeight="1" x14ac:dyDescent="0.3"/>
    <row r="1287" ht="20.05" customHeight="1" x14ac:dyDescent="0.3"/>
    <row r="1288" ht="20.05" customHeight="1" x14ac:dyDescent="0.3"/>
    <row r="1289" ht="20.05" customHeight="1" x14ac:dyDescent="0.3"/>
    <row r="1290" ht="20.05" customHeight="1" x14ac:dyDescent="0.3"/>
    <row r="1291" ht="20.05" customHeight="1" x14ac:dyDescent="0.3"/>
    <row r="1292" ht="20.05" customHeight="1" x14ac:dyDescent="0.3"/>
    <row r="1293" ht="20.05" customHeight="1" x14ac:dyDescent="0.3"/>
    <row r="1294" ht="20.05" customHeight="1" x14ac:dyDescent="0.3"/>
    <row r="1295" ht="20.05" customHeight="1" x14ac:dyDescent="0.3"/>
    <row r="1296" ht="20.05" customHeight="1" x14ac:dyDescent="0.3"/>
    <row r="1297" ht="20.05" customHeight="1" x14ac:dyDescent="0.3"/>
    <row r="1298" ht="20.05" customHeight="1" x14ac:dyDescent="0.3"/>
    <row r="1299" ht="20.05" customHeight="1" x14ac:dyDescent="0.3"/>
    <row r="1300" ht="20.05" customHeight="1" x14ac:dyDescent="0.3"/>
    <row r="1301" ht="20.05" customHeight="1" x14ac:dyDescent="0.3"/>
    <row r="1302" ht="20.05" customHeight="1" x14ac:dyDescent="0.3"/>
    <row r="1303" ht="20.05" customHeight="1" x14ac:dyDescent="0.3"/>
    <row r="1304" ht="20.05" customHeight="1" x14ac:dyDescent="0.3"/>
    <row r="1305" ht="20.05" customHeight="1" x14ac:dyDescent="0.3"/>
    <row r="1306" ht="20.05" customHeight="1" x14ac:dyDescent="0.3"/>
    <row r="1307" ht="20.05" customHeight="1" x14ac:dyDescent="0.3"/>
    <row r="1308" ht="20.05" customHeight="1" x14ac:dyDescent="0.3"/>
    <row r="1309" ht="20.05" customHeight="1" x14ac:dyDescent="0.3"/>
    <row r="1310" ht="20.05" customHeight="1" x14ac:dyDescent="0.3"/>
    <row r="1311" ht="20.05" customHeight="1" x14ac:dyDescent="0.3"/>
    <row r="1312" ht="20.05" customHeight="1" x14ac:dyDescent="0.3"/>
    <row r="1313" ht="20.05" customHeight="1" x14ac:dyDescent="0.3"/>
    <row r="1314" ht="20.05" customHeight="1" x14ac:dyDescent="0.3"/>
    <row r="1315" ht="20.05" customHeight="1" x14ac:dyDescent="0.3"/>
    <row r="1316" ht="20.05" customHeight="1" x14ac:dyDescent="0.3"/>
    <row r="1317" ht="20.05" customHeight="1" x14ac:dyDescent="0.3"/>
    <row r="1318" ht="20.05" customHeight="1" x14ac:dyDescent="0.3"/>
    <row r="1319" ht="20.05" customHeight="1" x14ac:dyDescent="0.3"/>
    <row r="1320" ht="20.05" customHeight="1" x14ac:dyDescent="0.3"/>
    <row r="1321" ht="20.05" customHeight="1" x14ac:dyDescent="0.3"/>
    <row r="1322" ht="20.05" customHeight="1" x14ac:dyDescent="0.3"/>
    <row r="1323" ht="20.05" customHeight="1" x14ac:dyDescent="0.3"/>
    <row r="1324" ht="20.05" customHeight="1" x14ac:dyDescent="0.3"/>
    <row r="1325" ht="20.05" customHeight="1" x14ac:dyDescent="0.3"/>
    <row r="1326" ht="20.05" customHeight="1" x14ac:dyDescent="0.3"/>
    <row r="1327" ht="20.05" customHeight="1" x14ac:dyDescent="0.3"/>
    <row r="1328" ht="20.05" customHeight="1" x14ac:dyDescent="0.3"/>
    <row r="1329" ht="20.05" customHeight="1" x14ac:dyDescent="0.3"/>
    <row r="1330" ht="20.05" customHeight="1" x14ac:dyDescent="0.3"/>
    <row r="1331" ht="20.05" customHeight="1" x14ac:dyDescent="0.3"/>
    <row r="1332" ht="20.05" customHeight="1" x14ac:dyDescent="0.3"/>
    <row r="1333" ht="20.05" customHeight="1" x14ac:dyDescent="0.3"/>
    <row r="1334" ht="20.05" customHeight="1" x14ac:dyDescent="0.3"/>
    <row r="1335" ht="20.05" customHeight="1" x14ac:dyDescent="0.3"/>
    <row r="1336" ht="20.05" customHeight="1" x14ac:dyDescent="0.3"/>
    <row r="1337" ht="20.05" customHeight="1" x14ac:dyDescent="0.3"/>
    <row r="1338" ht="20.05" customHeight="1" x14ac:dyDescent="0.3"/>
    <row r="1339" ht="20.05" customHeight="1" x14ac:dyDescent="0.3"/>
    <row r="1340" ht="20.05" customHeight="1" x14ac:dyDescent="0.3"/>
    <row r="1341" ht="20.05" customHeight="1" x14ac:dyDescent="0.3"/>
    <row r="1342" ht="20.05" customHeight="1" x14ac:dyDescent="0.3"/>
    <row r="1343" ht="20.05" customHeight="1" x14ac:dyDescent="0.3"/>
    <row r="1344" ht="20.05" customHeight="1" x14ac:dyDescent="0.3"/>
    <row r="1345" ht="20.05" customHeight="1" x14ac:dyDescent="0.3"/>
    <row r="1346" ht="20.05" customHeight="1" x14ac:dyDescent="0.3"/>
    <row r="1347" ht="20.05" customHeight="1" x14ac:dyDescent="0.3"/>
    <row r="1348" ht="20.05" customHeight="1" x14ac:dyDescent="0.3"/>
    <row r="1349" ht="20.05" customHeight="1" x14ac:dyDescent="0.3"/>
    <row r="1350" ht="20.05" customHeight="1" x14ac:dyDescent="0.3"/>
    <row r="1351" ht="20.05" customHeight="1" x14ac:dyDescent="0.3"/>
    <row r="1352" ht="20.05" customHeight="1" x14ac:dyDescent="0.3"/>
    <row r="1353" ht="20.05" customHeight="1" x14ac:dyDescent="0.3"/>
    <row r="1354" ht="20.05" customHeight="1" x14ac:dyDescent="0.3"/>
    <row r="1355" ht="20.05" customHeight="1" x14ac:dyDescent="0.3"/>
    <row r="1356" ht="20.05" customHeight="1" x14ac:dyDescent="0.3"/>
    <row r="1357" ht="20.05" customHeight="1" x14ac:dyDescent="0.3"/>
    <row r="1358" ht="20.05" customHeight="1" x14ac:dyDescent="0.3"/>
    <row r="1359" ht="20.05" customHeight="1" x14ac:dyDescent="0.3"/>
    <row r="1360" ht="20.05" customHeight="1" x14ac:dyDescent="0.3"/>
    <row r="1361" ht="20.05" customHeight="1" x14ac:dyDescent="0.3"/>
    <row r="1362" ht="20.05" customHeight="1" x14ac:dyDescent="0.3"/>
    <row r="1363" ht="20.05" customHeight="1" x14ac:dyDescent="0.3"/>
    <row r="1364" ht="20.05" customHeight="1" x14ac:dyDescent="0.3"/>
    <row r="1365" ht="20.05" customHeight="1" x14ac:dyDescent="0.3"/>
    <row r="1366" ht="20.05" customHeight="1" x14ac:dyDescent="0.3"/>
    <row r="1367" ht="20.05" customHeight="1" x14ac:dyDescent="0.3"/>
    <row r="1368" ht="20.05" customHeight="1" x14ac:dyDescent="0.3"/>
    <row r="1369" ht="20.05" customHeight="1" x14ac:dyDescent="0.3"/>
    <row r="1370" ht="20.05" customHeight="1" x14ac:dyDescent="0.3"/>
    <row r="1371" ht="20.05" customHeight="1" x14ac:dyDescent="0.3"/>
    <row r="1372" ht="20.05" customHeight="1" x14ac:dyDescent="0.3"/>
    <row r="1373" ht="20.05" customHeight="1" x14ac:dyDescent="0.3"/>
    <row r="1374" ht="20.05" customHeight="1" x14ac:dyDescent="0.3"/>
    <row r="1375" ht="20.05" customHeight="1" x14ac:dyDescent="0.3"/>
    <row r="1376" ht="20.05" customHeight="1" x14ac:dyDescent="0.3"/>
    <row r="1377" ht="20.05" customHeight="1" x14ac:dyDescent="0.3"/>
    <row r="1378" ht="20.05" customHeight="1" x14ac:dyDescent="0.3"/>
    <row r="1379" ht="20.05" customHeight="1" x14ac:dyDescent="0.3"/>
    <row r="1380" ht="20.05" customHeight="1" x14ac:dyDescent="0.3"/>
    <row r="1381" ht="20.05" customHeight="1" x14ac:dyDescent="0.3"/>
    <row r="1382" ht="20.05" customHeight="1" x14ac:dyDescent="0.3"/>
    <row r="1383" ht="20.05" customHeight="1" x14ac:dyDescent="0.3"/>
    <row r="1384" ht="20.05" customHeight="1" x14ac:dyDescent="0.3"/>
    <row r="1385" ht="20.05" customHeight="1" x14ac:dyDescent="0.3"/>
    <row r="1386" ht="20.05" customHeight="1" x14ac:dyDescent="0.3"/>
    <row r="1387" ht="20.05" customHeight="1" x14ac:dyDescent="0.3"/>
    <row r="1388" ht="20.05" customHeight="1" x14ac:dyDescent="0.3"/>
    <row r="1389" ht="20.05" customHeight="1" x14ac:dyDescent="0.3"/>
    <row r="1390" ht="20.05" customHeight="1" x14ac:dyDescent="0.3"/>
    <row r="1391" ht="20.05" customHeight="1" x14ac:dyDescent="0.3"/>
    <row r="1392" ht="20.05" customHeight="1" x14ac:dyDescent="0.3"/>
    <row r="1393" ht="20.05" customHeight="1" x14ac:dyDescent="0.3"/>
    <row r="1394" ht="20.05" customHeight="1" x14ac:dyDescent="0.3"/>
    <row r="1395" ht="20.05" customHeight="1" x14ac:dyDescent="0.3"/>
    <row r="1396" ht="20.05" customHeight="1" x14ac:dyDescent="0.3"/>
    <row r="1397" ht="20.05" customHeight="1" x14ac:dyDescent="0.3"/>
    <row r="1398" ht="20.05" customHeight="1" x14ac:dyDescent="0.3"/>
    <row r="1399" ht="20.05" customHeight="1" x14ac:dyDescent="0.3"/>
    <row r="1400" ht="20.05" customHeight="1" x14ac:dyDescent="0.3"/>
    <row r="1401" ht="20.05" customHeight="1" x14ac:dyDescent="0.3"/>
    <row r="1402" ht="20.05" customHeight="1" x14ac:dyDescent="0.3"/>
    <row r="1403" ht="20.05" customHeight="1" x14ac:dyDescent="0.3"/>
    <row r="1404" ht="20.05" customHeight="1" x14ac:dyDescent="0.3"/>
    <row r="1405" ht="20.05" customHeight="1" x14ac:dyDescent="0.3"/>
    <row r="1406" ht="20.05" customHeight="1" x14ac:dyDescent="0.3"/>
    <row r="1407" ht="20.05" customHeight="1" x14ac:dyDescent="0.3"/>
    <row r="1408" ht="20.05" customHeight="1" x14ac:dyDescent="0.3"/>
    <row r="1409" ht="20.05" customHeight="1" x14ac:dyDescent="0.3"/>
    <row r="1410" ht="20.05" customHeight="1" x14ac:dyDescent="0.3"/>
    <row r="1411" ht="20.05" customHeight="1" x14ac:dyDescent="0.3"/>
    <row r="1412" ht="20.05" customHeight="1" x14ac:dyDescent="0.3"/>
    <row r="1413" ht="20.05" customHeight="1" x14ac:dyDescent="0.3"/>
    <row r="1414" ht="20.05" customHeight="1" x14ac:dyDescent="0.3"/>
    <row r="1415" ht="20.05" customHeight="1" x14ac:dyDescent="0.3"/>
    <row r="1416" ht="20.05" customHeight="1" x14ac:dyDescent="0.3"/>
    <row r="1417" ht="20.05" customHeight="1" x14ac:dyDescent="0.3"/>
    <row r="1418" ht="20.05" customHeight="1" x14ac:dyDescent="0.3"/>
    <row r="1419" ht="20.05" customHeight="1" x14ac:dyDescent="0.3"/>
    <row r="1420" ht="20.05" customHeight="1" x14ac:dyDescent="0.3"/>
    <row r="1421" ht="20.05" customHeight="1" x14ac:dyDescent="0.3"/>
    <row r="1422" ht="20.05" customHeight="1" x14ac:dyDescent="0.3"/>
    <row r="1423" ht="20.05" customHeight="1" x14ac:dyDescent="0.3"/>
    <row r="1424" ht="20.05" customHeight="1" x14ac:dyDescent="0.3"/>
    <row r="1425" ht="20.05" customHeight="1" x14ac:dyDescent="0.3"/>
    <row r="1426" ht="20.05" customHeight="1" x14ac:dyDescent="0.3"/>
    <row r="1427" ht="20.05" customHeight="1" x14ac:dyDescent="0.3"/>
    <row r="1428" ht="20.05" customHeight="1" x14ac:dyDescent="0.3"/>
    <row r="1429" ht="20.05" customHeight="1" x14ac:dyDescent="0.3"/>
    <row r="1430" ht="20.05" customHeight="1" x14ac:dyDescent="0.3"/>
    <row r="1431" ht="20.05" customHeight="1" x14ac:dyDescent="0.3"/>
    <row r="1432" ht="20.05" customHeight="1" x14ac:dyDescent="0.3"/>
    <row r="1433" ht="20.05" customHeight="1" x14ac:dyDescent="0.3"/>
    <row r="1434" ht="20.05" customHeight="1" x14ac:dyDescent="0.3"/>
    <row r="1435" ht="20.05" customHeight="1" x14ac:dyDescent="0.3"/>
    <row r="1436" ht="20.05" customHeight="1" x14ac:dyDescent="0.3"/>
    <row r="1437" ht="20.05" customHeight="1" x14ac:dyDescent="0.3"/>
    <row r="1438" ht="20.05" customHeight="1" x14ac:dyDescent="0.3"/>
    <row r="1439" ht="20.05" customHeight="1" x14ac:dyDescent="0.3"/>
    <row r="1440" ht="20.05" customHeight="1" x14ac:dyDescent="0.3"/>
    <row r="1441" ht="20.05" customHeight="1" x14ac:dyDescent="0.3"/>
    <row r="1442" ht="20.05" customHeight="1" x14ac:dyDescent="0.3"/>
    <row r="1443" ht="20.05" customHeight="1" x14ac:dyDescent="0.3"/>
    <row r="1444" ht="20.05" customHeight="1" x14ac:dyDescent="0.3"/>
    <row r="1445" ht="20.05" customHeight="1" x14ac:dyDescent="0.3"/>
    <row r="1446" ht="20.05" customHeight="1" x14ac:dyDescent="0.3"/>
    <row r="1447" ht="20.05" customHeight="1" x14ac:dyDescent="0.3"/>
    <row r="1448" ht="20.05" customHeight="1" x14ac:dyDescent="0.3"/>
    <row r="1449" ht="20.05" customHeight="1" x14ac:dyDescent="0.3"/>
    <row r="1450" ht="20.05" customHeight="1" x14ac:dyDescent="0.3"/>
    <row r="1451" ht="20.05" customHeight="1" x14ac:dyDescent="0.3"/>
    <row r="1452" ht="20.05" customHeight="1" x14ac:dyDescent="0.3"/>
    <row r="1453" ht="20.05" customHeight="1" x14ac:dyDescent="0.3"/>
    <row r="1454" ht="20.05" customHeight="1" x14ac:dyDescent="0.3"/>
    <row r="1455" ht="20.05" customHeight="1" x14ac:dyDescent="0.3"/>
    <row r="1456" ht="20.05" customHeight="1" x14ac:dyDescent="0.3"/>
    <row r="1457" ht="20.05" customHeight="1" x14ac:dyDescent="0.3"/>
    <row r="1458" ht="20.05" customHeight="1" x14ac:dyDescent="0.3"/>
    <row r="1459" ht="20.05" customHeight="1" x14ac:dyDescent="0.3"/>
    <row r="1460" ht="20.05" customHeight="1" x14ac:dyDescent="0.3"/>
    <row r="1461" ht="20.05" customHeight="1" x14ac:dyDescent="0.3"/>
    <row r="1462" ht="20.05" customHeight="1" x14ac:dyDescent="0.3"/>
    <row r="1463" ht="20.05" customHeight="1" x14ac:dyDescent="0.3"/>
    <row r="1464" ht="20.05" customHeight="1" x14ac:dyDescent="0.3"/>
    <row r="1465" ht="20.05" customHeight="1" x14ac:dyDescent="0.3"/>
    <row r="1466" ht="20.05" customHeight="1" x14ac:dyDescent="0.3"/>
    <row r="1467" ht="20.05" customHeight="1" x14ac:dyDescent="0.3"/>
    <row r="1468" ht="20.05" customHeight="1" x14ac:dyDescent="0.3"/>
    <row r="1469" ht="20.05" customHeight="1" x14ac:dyDescent="0.3"/>
    <row r="1470" ht="20.05" customHeight="1" x14ac:dyDescent="0.3"/>
    <row r="1471" ht="20.05" customHeight="1" x14ac:dyDescent="0.3"/>
    <row r="1472" ht="20.05" customHeight="1" x14ac:dyDescent="0.3"/>
    <row r="1473" ht="20.05" customHeight="1" x14ac:dyDescent="0.3"/>
    <row r="1474" ht="20.05" customHeight="1" x14ac:dyDescent="0.3"/>
    <row r="1475" ht="20.05" customHeight="1" x14ac:dyDescent="0.3"/>
    <row r="1476" ht="20.05" customHeight="1" x14ac:dyDescent="0.3"/>
    <row r="1477" ht="20.05" customHeight="1" x14ac:dyDescent="0.3"/>
    <row r="1478" ht="20.05" customHeight="1" x14ac:dyDescent="0.3"/>
    <row r="1479" ht="20.05" customHeight="1" x14ac:dyDescent="0.3"/>
    <row r="1480" ht="20.05" customHeight="1" x14ac:dyDescent="0.3"/>
    <row r="1481" ht="20.05" customHeight="1" x14ac:dyDescent="0.3"/>
    <row r="1482" ht="20.05" customHeight="1" x14ac:dyDescent="0.3"/>
    <row r="1483" ht="20.05" customHeight="1" x14ac:dyDescent="0.3"/>
    <row r="1484" ht="20.05" customHeight="1" x14ac:dyDescent="0.3"/>
    <row r="1485" ht="20.05" customHeight="1" x14ac:dyDescent="0.3"/>
    <row r="1486" ht="20.05" customHeight="1" x14ac:dyDescent="0.3"/>
    <row r="1487" ht="20.05" customHeight="1" x14ac:dyDescent="0.3"/>
    <row r="1488" ht="20.05" customHeight="1" x14ac:dyDescent="0.3"/>
    <row r="1489" ht="20.05" customHeight="1" x14ac:dyDescent="0.3"/>
    <row r="1490" ht="20.05" customHeight="1" x14ac:dyDescent="0.3"/>
    <row r="1491" ht="20.05" customHeight="1" x14ac:dyDescent="0.3"/>
    <row r="1492" ht="20.05" customHeight="1" x14ac:dyDescent="0.3"/>
    <row r="1493" ht="20.05" customHeight="1" x14ac:dyDescent="0.3"/>
    <row r="1494" ht="20.05" customHeight="1" x14ac:dyDescent="0.3"/>
    <row r="1495" ht="20.05" customHeight="1" x14ac:dyDescent="0.3"/>
    <row r="1496" ht="20.05" customHeight="1" x14ac:dyDescent="0.3"/>
    <row r="1497" ht="20.05" customHeight="1" x14ac:dyDescent="0.3"/>
    <row r="1498" ht="20.05" customHeight="1" x14ac:dyDescent="0.3"/>
    <row r="1499" ht="20.05" customHeight="1" x14ac:dyDescent="0.3"/>
    <row r="1500" ht="20.05" customHeight="1" x14ac:dyDescent="0.3"/>
    <row r="1501" ht="20.05" customHeight="1" x14ac:dyDescent="0.3"/>
    <row r="1502" ht="20.05" customHeight="1" x14ac:dyDescent="0.3"/>
    <row r="1503" ht="20.05" customHeight="1" x14ac:dyDescent="0.3"/>
    <row r="1504" ht="20.05" customHeight="1" x14ac:dyDescent="0.3"/>
    <row r="1505" ht="20.05" customHeight="1" x14ac:dyDescent="0.3"/>
    <row r="1506" ht="20.05" customHeight="1" x14ac:dyDescent="0.3"/>
    <row r="1507" ht="20.05" customHeight="1" x14ac:dyDescent="0.3"/>
    <row r="1508" ht="20.05" customHeight="1" x14ac:dyDescent="0.3"/>
    <row r="1509" ht="20.05" customHeight="1" x14ac:dyDescent="0.3"/>
    <row r="1510" ht="20.05" customHeight="1" x14ac:dyDescent="0.3"/>
    <row r="1511" ht="20.05" customHeight="1" x14ac:dyDescent="0.3"/>
    <row r="1512" ht="20.05" customHeight="1" x14ac:dyDescent="0.3"/>
    <row r="1513" ht="20.05" customHeight="1" x14ac:dyDescent="0.3"/>
    <row r="1514" ht="20.05" customHeight="1" x14ac:dyDescent="0.3"/>
    <row r="1515" ht="20.05" customHeight="1" x14ac:dyDescent="0.3"/>
    <row r="1516" ht="20.05" customHeight="1" x14ac:dyDescent="0.3"/>
    <row r="1517" ht="20.05" customHeight="1" x14ac:dyDescent="0.3"/>
    <row r="1518" ht="20.05" customHeight="1" x14ac:dyDescent="0.3"/>
    <row r="1519" ht="20.05" customHeight="1" x14ac:dyDescent="0.3"/>
    <row r="1520" ht="20.05" customHeight="1" x14ac:dyDescent="0.3"/>
    <row r="1521" ht="20.05" customHeight="1" x14ac:dyDescent="0.3"/>
    <row r="1522" ht="20.05" customHeight="1" x14ac:dyDescent="0.3"/>
    <row r="1523" ht="20.05" customHeight="1" x14ac:dyDescent="0.3"/>
    <row r="1524" ht="20.05" customHeight="1" x14ac:dyDescent="0.3"/>
    <row r="1525" ht="20.05" customHeight="1" x14ac:dyDescent="0.3"/>
    <row r="1526" ht="20.05" customHeight="1" x14ac:dyDescent="0.3"/>
    <row r="1527" ht="20.05" customHeight="1" x14ac:dyDescent="0.3"/>
    <row r="1528" ht="20.05" customHeight="1" x14ac:dyDescent="0.3"/>
    <row r="1529" ht="20.05" customHeight="1" x14ac:dyDescent="0.3"/>
    <row r="1530" ht="20.05" customHeight="1" x14ac:dyDescent="0.3"/>
    <row r="1531" ht="20.05" customHeight="1" x14ac:dyDescent="0.3"/>
    <row r="1532" ht="20.05" customHeight="1" x14ac:dyDescent="0.3"/>
    <row r="1533" ht="20.05" customHeight="1" x14ac:dyDescent="0.3"/>
    <row r="1534" ht="20.05" customHeight="1" x14ac:dyDescent="0.3"/>
    <row r="1535" ht="20.05" customHeight="1" x14ac:dyDescent="0.3"/>
    <row r="1536" ht="20.05" customHeight="1" x14ac:dyDescent="0.3"/>
    <row r="1537" ht="20.05" customHeight="1" x14ac:dyDescent="0.3"/>
    <row r="1538" ht="20.05" customHeight="1" x14ac:dyDescent="0.3"/>
    <row r="1539" ht="20.05" customHeight="1" x14ac:dyDescent="0.3"/>
    <row r="1540" ht="20.05" customHeight="1" x14ac:dyDescent="0.3"/>
    <row r="1541" ht="20.05" customHeight="1" x14ac:dyDescent="0.3"/>
    <row r="1542" ht="20.05" customHeight="1" x14ac:dyDescent="0.3"/>
    <row r="1543" ht="20.05" customHeight="1" x14ac:dyDescent="0.3"/>
    <row r="1544" ht="20.05" customHeight="1" x14ac:dyDescent="0.3"/>
    <row r="1545" ht="20.05" customHeight="1" x14ac:dyDescent="0.3"/>
    <row r="1546" ht="20.05" customHeight="1" x14ac:dyDescent="0.3"/>
    <row r="1547" ht="20.05" customHeight="1" x14ac:dyDescent="0.3"/>
    <row r="1548" ht="20.05" customHeight="1" x14ac:dyDescent="0.3"/>
    <row r="1549" ht="20.05" customHeight="1" x14ac:dyDescent="0.3"/>
    <row r="1550" ht="20.05" customHeight="1" x14ac:dyDescent="0.3"/>
    <row r="1551" ht="20.05" customHeight="1" x14ac:dyDescent="0.3"/>
    <row r="1552" ht="20.05" customHeight="1" x14ac:dyDescent="0.3"/>
    <row r="1553" ht="20.05" customHeight="1" x14ac:dyDescent="0.3"/>
    <row r="1554" ht="20.05" customHeight="1" x14ac:dyDescent="0.3"/>
    <row r="1555" ht="20.05" customHeight="1" x14ac:dyDescent="0.3"/>
    <row r="1556" ht="20.05" customHeight="1" x14ac:dyDescent="0.3"/>
    <row r="1557" ht="20.05" customHeight="1" x14ac:dyDescent="0.3"/>
    <row r="1558" ht="20.05" customHeight="1" x14ac:dyDescent="0.3"/>
    <row r="1559" ht="20.05" customHeight="1" x14ac:dyDescent="0.3"/>
    <row r="1560" ht="20.05" customHeight="1" x14ac:dyDescent="0.3"/>
    <row r="1561" ht="20.05" customHeight="1" x14ac:dyDescent="0.3"/>
    <row r="1562" ht="20.05" customHeight="1" x14ac:dyDescent="0.3"/>
    <row r="1563" ht="20.05" customHeight="1" x14ac:dyDescent="0.3"/>
    <row r="1564" ht="20.05" customHeight="1" x14ac:dyDescent="0.3"/>
    <row r="1565" ht="20.05" customHeight="1" x14ac:dyDescent="0.3"/>
    <row r="1566" ht="20.05" customHeight="1" x14ac:dyDescent="0.3"/>
    <row r="1567" ht="20.05" customHeight="1" x14ac:dyDescent="0.3"/>
    <row r="1568" ht="20.05" customHeight="1" x14ac:dyDescent="0.3"/>
    <row r="1569" ht="20.05" customHeight="1" x14ac:dyDescent="0.3"/>
    <row r="1570" ht="20.05" customHeight="1" x14ac:dyDescent="0.3"/>
    <row r="1571" ht="20.05" customHeight="1" x14ac:dyDescent="0.3"/>
    <row r="1572" ht="20.05" customHeight="1" x14ac:dyDescent="0.3"/>
    <row r="1573" ht="20.05" customHeight="1" x14ac:dyDescent="0.3"/>
    <row r="1574" ht="20.05" customHeight="1" x14ac:dyDescent="0.3"/>
    <row r="1575" ht="20.05" customHeight="1" x14ac:dyDescent="0.3"/>
    <row r="1576" ht="20.05" customHeight="1" x14ac:dyDescent="0.3"/>
    <row r="1577" ht="20.05" customHeight="1" x14ac:dyDescent="0.3"/>
    <row r="1578" ht="20.05" customHeight="1" x14ac:dyDescent="0.3"/>
    <row r="1579" ht="20.05" customHeight="1" x14ac:dyDescent="0.3"/>
    <row r="1580" ht="20.05" customHeight="1" x14ac:dyDescent="0.3"/>
    <row r="1581" ht="20.05" customHeight="1" x14ac:dyDescent="0.3"/>
    <row r="1582" ht="20.05" customHeight="1" x14ac:dyDescent="0.3"/>
    <row r="1583" ht="20.05" customHeight="1" x14ac:dyDescent="0.3"/>
    <row r="1584" ht="20.05" customHeight="1" x14ac:dyDescent="0.3"/>
    <row r="1585" ht="20.05" customHeight="1" x14ac:dyDescent="0.3"/>
    <row r="1586" ht="20.05" customHeight="1" x14ac:dyDescent="0.3"/>
    <row r="1587" ht="20.05" customHeight="1" x14ac:dyDescent="0.3"/>
    <row r="1588" ht="20.05" customHeight="1" x14ac:dyDescent="0.3"/>
    <row r="1589" ht="20.05" customHeight="1" x14ac:dyDescent="0.3"/>
    <row r="1590" ht="20.05" customHeight="1" x14ac:dyDescent="0.3"/>
    <row r="1591" ht="20.05" customHeight="1" x14ac:dyDescent="0.3"/>
    <row r="1592" ht="20.05" customHeight="1" x14ac:dyDescent="0.3"/>
    <row r="1593" ht="20.05" customHeight="1" x14ac:dyDescent="0.3"/>
    <row r="1594" ht="20.05" customHeight="1" x14ac:dyDescent="0.3"/>
    <row r="1595" ht="20.05" customHeight="1" x14ac:dyDescent="0.3"/>
    <row r="1596" ht="20.05" customHeight="1" x14ac:dyDescent="0.3"/>
    <row r="1597" ht="20.05" customHeight="1" x14ac:dyDescent="0.3"/>
    <row r="1598" ht="20.05" customHeight="1" x14ac:dyDescent="0.3"/>
    <row r="1599" ht="20.05" customHeight="1" x14ac:dyDescent="0.3"/>
    <row r="1600" ht="20.05" customHeight="1" x14ac:dyDescent="0.3"/>
    <row r="1601" ht="20.05" customHeight="1" x14ac:dyDescent="0.3"/>
    <row r="1602" ht="20.05" customHeight="1" x14ac:dyDescent="0.3"/>
    <row r="1603" ht="20.05" customHeight="1" x14ac:dyDescent="0.3"/>
    <row r="1604" ht="20.05" customHeight="1" x14ac:dyDescent="0.3"/>
    <row r="1605" ht="20.05" customHeight="1" x14ac:dyDescent="0.3"/>
    <row r="1606" ht="20.05" customHeight="1" x14ac:dyDescent="0.3"/>
    <row r="1607" ht="20.05" customHeight="1" x14ac:dyDescent="0.3"/>
    <row r="1608" ht="20.05" customHeight="1" x14ac:dyDescent="0.3"/>
    <row r="1609" ht="20.05" customHeight="1" x14ac:dyDescent="0.3"/>
    <row r="1610" ht="20.05" customHeight="1" x14ac:dyDescent="0.3"/>
    <row r="1611" ht="20.05" customHeight="1" x14ac:dyDescent="0.3"/>
    <row r="1612" ht="20.05" customHeight="1" x14ac:dyDescent="0.3"/>
    <row r="1613" ht="20.05" customHeight="1" x14ac:dyDescent="0.3"/>
    <row r="1614" ht="20.05" customHeight="1" x14ac:dyDescent="0.3"/>
    <row r="1615" ht="20.05" customHeight="1" x14ac:dyDescent="0.3"/>
    <row r="1616" ht="20.05" customHeight="1" x14ac:dyDescent="0.3"/>
    <row r="1617" ht="20.05" customHeight="1" x14ac:dyDescent="0.3"/>
    <row r="1618" ht="20.05" customHeight="1" x14ac:dyDescent="0.3"/>
    <row r="1619" ht="20.05" customHeight="1" x14ac:dyDescent="0.3"/>
    <row r="1620" ht="20.05" customHeight="1" x14ac:dyDescent="0.3"/>
    <row r="1621" ht="20.05" customHeight="1" x14ac:dyDescent="0.3"/>
    <row r="1622" ht="20.05" customHeight="1" x14ac:dyDescent="0.3"/>
    <row r="1623" ht="20.05" customHeight="1" x14ac:dyDescent="0.3"/>
    <row r="1624" ht="20.05" customHeight="1" x14ac:dyDescent="0.3"/>
    <row r="1625" ht="20.05" customHeight="1" x14ac:dyDescent="0.3"/>
    <row r="1626" ht="20.05" customHeight="1" x14ac:dyDescent="0.3"/>
    <row r="1627" ht="20.05" customHeight="1" x14ac:dyDescent="0.3"/>
    <row r="1628" ht="20.05" customHeight="1" x14ac:dyDescent="0.3"/>
    <row r="1629" ht="20.05" customHeight="1" x14ac:dyDescent="0.3"/>
    <row r="1630" ht="20.05" customHeight="1" x14ac:dyDescent="0.3"/>
    <row r="1631" ht="20.05" customHeight="1" x14ac:dyDescent="0.3"/>
    <row r="1632" ht="20.05" customHeight="1" x14ac:dyDescent="0.3"/>
    <row r="1633" ht="20.05" customHeight="1" x14ac:dyDescent="0.3"/>
    <row r="1634" ht="20.05" customHeight="1" x14ac:dyDescent="0.3"/>
    <row r="1635" ht="20.05" customHeight="1" x14ac:dyDescent="0.3"/>
    <row r="1636" ht="20.05" customHeight="1" x14ac:dyDescent="0.3"/>
    <row r="1637" ht="20.05" customHeight="1" x14ac:dyDescent="0.3"/>
    <row r="1638" ht="20.05" customHeight="1" x14ac:dyDescent="0.3"/>
    <row r="1639" ht="20.05" customHeight="1" x14ac:dyDescent="0.3"/>
    <row r="1640" ht="20.05" customHeight="1" x14ac:dyDescent="0.3"/>
    <row r="1641" ht="20.05" customHeight="1" x14ac:dyDescent="0.3"/>
    <row r="1642" ht="20.05" customHeight="1" x14ac:dyDescent="0.3"/>
    <row r="1643" ht="20.05" customHeight="1" x14ac:dyDescent="0.3"/>
    <row r="1644" ht="20.05" customHeight="1" x14ac:dyDescent="0.3"/>
    <row r="1645" ht="20.05" customHeight="1" x14ac:dyDescent="0.3"/>
    <row r="1646" ht="20.05" customHeight="1" x14ac:dyDescent="0.3"/>
    <row r="1647" ht="20.05" customHeight="1" x14ac:dyDescent="0.3"/>
    <row r="1648" ht="20.05" customHeight="1" x14ac:dyDescent="0.3"/>
    <row r="1649" ht="20.05" customHeight="1" x14ac:dyDescent="0.3"/>
    <row r="1650" ht="20.05" customHeight="1" x14ac:dyDescent="0.3"/>
    <row r="1651" ht="20.05" customHeight="1" x14ac:dyDescent="0.3"/>
    <row r="1652" ht="20.05" customHeight="1" x14ac:dyDescent="0.3"/>
    <row r="1653" ht="20.05" customHeight="1" x14ac:dyDescent="0.3"/>
    <row r="1654" ht="20.05" customHeight="1" x14ac:dyDescent="0.3"/>
    <row r="1655" ht="20.05" customHeight="1" x14ac:dyDescent="0.3"/>
    <row r="1656" ht="20.05" customHeight="1" x14ac:dyDescent="0.3"/>
    <row r="1657" ht="20.05" customHeight="1" x14ac:dyDescent="0.3"/>
    <row r="1658" ht="20.05" customHeight="1" x14ac:dyDescent="0.3"/>
    <row r="1659" ht="20.05" customHeight="1" x14ac:dyDescent="0.3"/>
    <row r="1660" ht="20.05" customHeight="1" x14ac:dyDescent="0.3"/>
    <row r="1661" ht="20.05" customHeight="1" x14ac:dyDescent="0.3"/>
    <row r="1662" ht="20.05" customHeight="1" x14ac:dyDescent="0.3"/>
    <row r="1663" ht="20.05" customHeight="1" x14ac:dyDescent="0.3"/>
    <row r="1664" ht="20.05" customHeight="1" x14ac:dyDescent="0.3"/>
    <row r="1665" ht="20.05" customHeight="1" x14ac:dyDescent="0.3"/>
    <row r="1666" ht="20.05" customHeight="1" x14ac:dyDescent="0.3"/>
    <row r="1667" ht="20.05" customHeight="1" x14ac:dyDescent="0.3"/>
    <row r="1668" ht="20.05" customHeight="1" x14ac:dyDescent="0.3"/>
    <row r="1669" ht="20.05" customHeight="1" x14ac:dyDescent="0.3"/>
    <row r="1670" ht="20.05" customHeight="1" x14ac:dyDescent="0.3"/>
    <row r="1671" ht="20.05" customHeight="1" x14ac:dyDescent="0.3"/>
    <row r="1672" ht="20.05" customHeight="1" x14ac:dyDescent="0.3"/>
    <row r="1673" ht="20.05" customHeight="1" x14ac:dyDescent="0.3"/>
    <row r="1674" ht="20.05" customHeight="1" x14ac:dyDescent="0.3"/>
    <row r="1675" ht="20.05" customHeight="1" x14ac:dyDescent="0.3"/>
    <row r="1676" ht="20.05" customHeight="1" x14ac:dyDescent="0.3"/>
    <row r="1677" ht="20.05" customHeight="1" x14ac:dyDescent="0.3"/>
    <row r="1678" ht="20.05" customHeight="1" x14ac:dyDescent="0.3"/>
    <row r="1679" ht="20.05" customHeight="1" x14ac:dyDescent="0.3"/>
    <row r="1680" ht="20.05" customHeight="1" x14ac:dyDescent="0.3"/>
    <row r="1681" ht="20.05" customHeight="1" x14ac:dyDescent="0.3"/>
    <row r="1682" ht="20.05" customHeight="1" x14ac:dyDescent="0.3"/>
    <row r="1683" ht="20.05" customHeight="1" x14ac:dyDescent="0.3"/>
    <row r="1684" ht="20.05" customHeight="1" x14ac:dyDescent="0.3"/>
    <row r="1685" ht="20.05" customHeight="1" x14ac:dyDescent="0.3"/>
    <row r="1686" ht="20.05" customHeight="1" x14ac:dyDescent="0.3"/>
    <row r="1687" ht="20.05" customHeight="1" x14ac:dyDescent="0.3"/>
    <row r="1688" ht="20.05" customHeight="1" x14ac:dyDescent="0.3"/>
    <row r="1689" ht="20.05" customHeight="1" x14ac:dyDescent="0.3"/>
    <row r="1690" ht="20.05" customHeight="1" x14ac:dyDescent="0.3"/>
    <row r="1691" ht="20.05" customHeight="1" x14ac:dyDescent="0.3"/>
    <row r="1692" ht="20.05" customHeight="1" x14ac:dyDescent="0.3"/>
    <row r="1693" ht="20.05" customHeight="1" x14ac:dyDescent="0.3"/>
    <row r="1694" ht="20.05" customHeight="1" x14ac:dyDescent="0.3"/>
    <row r="1695" ht="20.05" customHeight="1" x14ac:dyDescent="0.3"/>
    <row r="1696" ht="20.05" customHeight="1" x14ac:dyDescent="0.3"/>
    <row r="1697" ht="20.05" customHeight="1" x14ac:dyDescent="0.3"/>
    <row r="1698" ht="20.05" customHeight="1" x14ac:dyDescent="0.3"/>
    <row r="1699" ht="20.05" customHeight="1" x14ac:dyDescent="0.3"/>
    <row r="1700" ht="20.05" customHeight="1" x14ac:dyDescent="0.3"/>
    <row r="1701" ht="20.05" customHeight="1" x14ac:dyDescent="0.3"/>
    <row r="1702" ht="20.05" customHeight="1" x14ac:dyDescent="0.3"/>
    <row r="1703" ht="20.05" customHeight="1" x14ac:dyDescent="0.3"/>
    <row r="1704" ht="20.05" customHeight="1" x14ac:dyDescent="0.3"/>
    <row r="1705" ht="20.05" customHeight="1" x14ac:dyDescent="0.3"/>
    <row r="1706" ht="20.05" customHeight="1" x14ac:dyDescent="0.3"/>
    <row r="1707" ht="20.05" customHeight="1" x14ac:dyDescent="0.3"/>
    <row r="1708" ht="20.05" customHeight="1" x14ac:dyDescent="0.3"/>
    <row r="1709" ht="20.05" customHeight="1" x14ac:dyDescent="0.3"/>
    <row r="1710" ht="20.05" customHeight="1" x14ac:dyDescent="0.3"/>
    <row r="1711" ht="20.05" customHeight="1" x14ac:dyDescent="0.3"/>
    <row r="1712" ht="20.05" customHeight="1" x14ac:dyDescent="0.3"/>
    <row r="1713" ht="20.05" customHeight="1" x14ac:dyDescent="0.3"/>
    <row r="1714" ht="20.05" customHeight="1" x14ac:dyDescent="0.3"/>
    <row r="1715" ht="20.05" customHeight="1" x14ac:dyDescent="0.3"/>
    <row r="1716" ht="20.05" customHeight="1" x14ac:dyDescent="0.3"/>
    <row r="1717" ht="20.05" customHeight="1" x14ac:dyDescent="0.3"/>
    <row r="1718" ht="20.05" customHeight="1" x14ac:dyDescent="0.3"/>
    <row r="1719" ht="20.05" customHeight="1" x14ac:dyDescent="0.3"/>
    <row r="1720" ht="20.05" customHeight="1" x14ac:dyDescent="0.3"/>
    <row r="1721" ht="20.05" customHeight="1" x14ac:dyDescent="0.3"/>
    <row r="1722" ht="20.05" customHeight="1" x14ac:dyDescent="0.3"/>
    <row r="1723" ht="20.05" customHeight="1" x14ac:dyDescent="0.3"/>
    <row r="1724" ht="20.05" customHeight="1" x14ac:dyDescent="0.3"/>
    <row r="1725" ht="20.05" customHeight="1" x14ac:dyDescent="0.3"/>
    <row r="1726" ht="20.05" customHeight="1" x14ac:dyDescent="0.3"/>
    <row r="1727" ht="20.05" customHeight="1" x14ac:dyDescent="0.3"/>
    <row r="1728" ht="20.05" customHeight="1" x14ac:dyDescent="0.3"/>
    <row r="1729" ht="20.05" customHeight="1" x14ac:dyDescent="0.3"/>
    <row r="1730" ht="20.05" customHeight="1" x14ac:dyDescent="0.3"/>
    <row r="1731" ht="20.05" customHeight="1" x14ac:dyDescent="0.3"/>
    <row r="1732" ht="20.05" customHeight="1" x14ac:dyDescent="0.3"/>
    <row r="1733" ht="20.05" customHeight="1" x14ac:dyDescent="0.3"/>
    <row r="1734" ht="20.05" customHeight="1" x14ac:dyDescent="0.3"/>
    <row r="1735" ht="20.05" customHeight="1" x14ac:dyDescent="0.3"/>
    <row r="1736" ht="20.05" customHeight="1" x14ac:dyDescent="0.3"/>
    <row r="1737" ht="20.05" customHeight="1" x14ac:dyDescent="0.3"/>
    <row r="1738" ht="20.05" customHeight="1" x14ac:dyDescent="0.3"/>
    <row r="1739" ht="20.05" customHeight="1" x14ac:dyDescent="0.3"/>
    <row r="1740" ht="20.05" customHeight="1" x14ac:dyDescent="0.3"/>
    <row r="1741" ht="20.05" customHeight="1" x14ac:dyDescent="0.3"/>
    <row r="1742" ht="20.05" customHeight="1" x14ac:dyDescent="0.3"/>
    <row r="1743" ht="20.05" customHeight="1" x14ac:dyDescent="0.3"/>
    <row r="1744" ht="20.05" customHeight="1" x14ac:dyDescent="0.3"/>
    <row r="1745" ht="20.05" customHeight="1" x14ac:dyDescent="0.3"/>
    <row r="1746" ht="20.05" customHeight="1" x14ac:dyDescent="0.3"/>
    <row r="1747" ht="20.05" customHeight="1" x14ac:dyDescent="0.3"/>
    <row r="1748" ht="20.05" customHeight="1" x14ac:dyDescent="0.3"/>
    <row r="1749" ht="20.05" customHeight="1" x14ac:dyDescent="0.3"/>
    <row r="1750" ht="20.05" customHeight="1" x14ac:dyDescent="0.3"/>
    <row r="1751" ht="20.05" customHeight="1" x14ac:dyDescent="0.3"/>
    <row r="1752" ht="20.05" customHeight="1" x14ac:dyDescent="0.3"/>
    <row r="1753" ht="20.05" customHeight="1" x14ac:dyDescent="0.3"/>
    <row r="1754" ht="20.05" customHeight="1" x14ac:dyDescent="0.3"/>
    <row r="1755" ht="20.05" customHeight="1" x14ac:dyDescent="0.3"/>
    <row r="1756" ht="20.05" customHeight="1" x14ac:dyDescent="0.3"/>
    <row r="1757" ht="20.05" customHeight="1" x14ac:dyDescent="0.3"/>
    <row r="1758" ht="20.05" customHeight="1" x14ac:dyDescent="0.3"/>
    <row r="1759" ht="20.05" customHeight="1" x14ac:dyDescent="0.3"/>
    <row r="1760" ht="20.05" customHeight="1" x14ac:dyDescent="0.3"/>
    <row r="1761" ht="20.05" customHeight="1" x14ac:dyDescent="0.3"/>
    <row r="1762" ht="20.05" customHeight="1" x14ac:dyDescent="0.3"/>
    <row r="1763" ht="20.05" customHeight="1" x14ac:dyDescent="0.3"/>
    <row r="1764" ht="20.05" customHeight="1" x14ac:dyDescent="0.3"/>
    <row r="1765" ht="20.05" customHeight="1" x14ac:dyDescent="0.3"/>
    <row r="1766" ht="20.05" customHeight="1" x14ac:dyDescent="0.3"/>
    <row r="1767" ht="20.05" customHeight="1" x14ac:dyDescent="0.3"/>
    <row r="1768" ht="20.05" customHeight="1" x14ac:dyDescent="0.3"/>
    <row r="1769" ht="20.05" customHeight="1" x14ac:dyDescent="0.3"/>
    <row r="1770" ht="20.05" customHeight="1" x14ac:dyDescent="0.3"/>
    <row r="1771" ht="20.05" customHeight="1" x14ac:dyDescent="0.3"/>
    <row r="1772" ht="20.05" customHeight="1" x14ac:dyDescent="0.3"/>
    <row r="1773" ht="20.05" customHeight="1" x14ac:dyDescent="0.3"/>
    <row r="1774" ht="20.05" customHeight="1" x14ac:dyDescent="0.3"/>
    <row r="1775" ht="20.05" customHeight="1" x14ac:dyDescent="0.3"/>
    <row r="1776" ht="20.05" customHeight="1" x14ac:dyDescent="0.3"/>
    <row r="1777" ht="20.05" customHeight="1" x14ac:dyDescent="0.3"/>
    <row r="1778" ht="20.05" customHeight="1" x14ac:dyDescent="0.3"/>
    <row r="1779" ht="20.05" customHeight="1" x14ac:dyDescent="0.3"/>
    <row r="1780" ht="20.05" customHeight="1" x14ac:dyDescent="0.3"/>
    <row r="1781" ht="20.05" customHeight="1" x14ac:dyDescent="0.3"/>
    <row r="1782" ht="20.05" customHeight="1" x14ac:dyDescent="0.3"/>
    <row r="1783" ht="20.05" customHeight="1" x14ac:dyDescent="0.3"/>
    <row r="1784" ht="20.05" customHeight="1" x14ac:dyDescent="0.3"/>
    <row r="1785" ht="20.05" customHeight="1" x14ac:dyDescent="0.3"/>
    <row r="1786" ht="20.05" customHeight="1" x14ac:dyDescent="0.3"/>
    <row r="1787" ht="20.05" customHeight="1" x14ac:dyDescent="0.3"/>
    <row r="1788" ht="20.05" customHeight="1" x14ac:dyDescent="0.3"/>
    <row r="1789" ht="20.05" customHeight="1" x14ac:dyDescent="0.3"/>
    <row r="1790" ht="20.05" customHeight="1" x14ac:dyDescent="0.3"/>
    <row r="1791" ht="20.05" customHeight="1" x14ac:dyDescent="0.3"/>
    <row r="1792" ht="20.05" customHeight="1" x14ac:dyDescent="0.3"/>
    <row r="1793" ht="20.05" customHeight="1" x14ac:dyDescent="0.3"/>
    <row r="1794" ht="20.05" customHeight="1" x14ac:dyDescent="0.3"/>
    <row r="1795" ht="20.05" customHeight="1" x14ac:dyDescent="0.3"/>
    <row r="1796" ht="20.05" customHeight="1" x14ac:dyDescent="0.3"/>
    <row r="1797" ht="20.05" customHeight="1" x14ac:dyDescent="0.3"/>
    <row r="1798" ht="20.05" customHeight="1" x14ac:dyDescent="0.3"/>
    <row r="1799" ht="20.05" customHeight="1" x14ac:dyDescent="0.3"/>
    <row r="1800" ht="20.05" customHeight="1" x14ac:dyDescent="0.3"/>
    <row r="1801" ht="20.05" customHeight="1" x14ac:dyDescent="0.3"/>
    <row r="1802" ht="20.05" customHeight="1" x14ac:dyDescent="0.3"/>
    <row r="1803" ht="20.05" customHeight="1" x14ac:dyDescent="0.3"/>
    <row r="1804" ht="20.05" customHeight="1" x14ac:dyDescent="0.3"/>
    <row r="1805" ht="20.05" customHeight="1" x14ac:dyDescent="0.3"/>
    <row r="1806" ht="20.05" customHeight="1" x14ac:dyDescent="0.3"/>
    <row r="1807" ht="20.05" customHeight="1" x14ac:dyDescent="0.3"/>
    <row r="1808" ht="20.05" customHeight="1" x14ac:dyDescent="0.3"/>
    <row r="1809" ht="20.05" customHeight="1" x14ac:dyDescent="0.3"/>
    <row r="1810" ht="20.05" customHeight="1" x14ac:dyDescent="0.3"/>
    <row r="1811" ht="20.05" customHeight="1" x14ac:dyDescent="0.3"/>
    <row r="1812" ht="20.05" customHeight="1" x14ac:dyDescent="0.3"/>
    <row r="1813" ht="20.05" customHeight="1" x14ac:dyDescent="0.3"/>
    <row r="1814" ht="20.05" customHeight="1" x14ac:dyDescent="0.3"/>
    <row r="1815" ht="20.05" customHeight="1" x14ac:dyDescent="0.3"/>
    <row r="1816" ht="20.05" customHeight="1" x14ac:dyDescent="0.3"/>
    <row r="1817" ht="20.05" customHeight="1" x14ac:dyDescent="0.3"/>
    <row r="1818" ht="20.05" customHeight="1" x14ac:dyDescent="0.3"/>
    <row r="1819" ht="20.05" customHeight="1" x14ac:dyDescent="0.3"/>
    <row r="1820" ht="20.05" customHeight="1" x14ac:dyDescent="0.3"/>
    <row r="1821" ht="20.05" customHeight="1" x14ac:dyDescent="0.3"/>
    <row r="1822" ht="20.05" customHeight="1" x14ac:dyDescent="0.3"/>
    <row r="1823" ht="20.05" customHeight="1" x14ac:dyDescent="0.3"/>
    <row r="1824" ht="20.05" customHeight="1" x14ac:dyDescent="0.3"/>
    <row r="1825" ht="20.05" customHeight="1" x14ac:dyDescent="0.3"/>
    <row r="1826" ht="20.05" customHeight="1" x14ac:dyDescent="0.3"/>
    <row r="1827" ht="20.05" customHeight="1" x14ac:dyDescent="0.3"/>
    <row r="1828" ht="20.05" customHeight="1" x14ac:dyDescent="0.3"/>
    <row r="1829" ht="20.05" customHeight="1" x14ac:dyDescent="0.3"/>
    <row r="1830" ht="20.05" customHeight="1" x14ac:dyDescent="0.3"/>
    <row r="1831" ht="20.05" customHeight="1" x14ac:dyDescent="0.3"/>
    <row r="1832" ht="20.05" customHeight="1" x14ac:dyDescent="0.3"/>
    <row r="1833" ht="20.05" customHeight="1" x14ac:dyDescent="0.3"/>
    <row r="1834" ht="20.05" customHeight="1" x14ac:dyDescent="0.3"/>
    <row r="1835" ht="20.05" customHeight="1" x14ac:dyDescent="0.3"/>
    <row r="1836" ht="20.05" customHeight="1" x14ac:dyDescent="0.3"/>
    <row r="1837" ht="20.05" customHeight="1" x14ac:dyDescent="0.3"/>
    <row r="1838" ht="20.05" customHeight="1" x14ac:dyDescent="0.3"/>
    <row r="1839" ht="20.05" customHeight="1" x14ac:dyDescent="0.3"/>
    <row r="1840" ht="20.05" customHeight="1" x14ac:dyDescent="0.3"/>
    <row r="1841" ht="20.05" customHeight="1" x14ac:dyDescent="0.3"/>
    <row r="1842" ht="20.05" customHeight="1" x14ac:dyDescent="0.3"/>
    <row r="1843" ht="20.05" customHeight="1" x14ac:dyDescent="0.3"/>
    <row r="1844" ht="20.05" customHeight="1" x14ac:dyDescent="0.3"/>
    <row r="1845" ht="20.05" customHeight="1" x14ac:dyDescent="0.3"/>
    <row r="1846" ht="20.05" customHeight="1" x14ac:dyDescent="0.3"/>
    <row r="1847" ht="20.05" customHeight="1" x14ac:dyDescent="0.3"/>
    <row r="1848" ht="20.05" customHeight="1" x14ac:dyDescent="0.3"/>
    <row r="1849" ht="20.05" customHeight="1" x14ac:dyDescent="0.3"/>
    <row r="1850" ht="20.05" customHeight="1" x14ac:dyDescent="0.3"/>
    <row r="1851" ht="20.05" customHeight="1" x14ac:dyDescent="0.3"/>
    <row r="1852" ht="20.05" customHeight="1" x14ac:dyDescent="0.3"/>
    <row r="1853" ht="20.05" customHeight="1" x14ac:dyDescent="0.3"/>
    <row r="1854" ht="20.05" customHeight="1" x14ac:dyDescent="0.3"/>
    <row r="1855" ht="20.05" customHeight="1" x14ac:dyDescent="0.3"/>
    <row r="1856" ht="20.05" customHeight="1" x14ac:dyDescent="0.3"/>
    <row r="1857" ht="20.05" customHeight="1" x14ac:dyDescent="0.3"/>
    <row r="1858" ht="20.05" customHeight="1" x14ac:dyDescent="0.3"/>
    <row r="1859" ht="20.05" customHeight="1" x14ac:dyDescent="0.3"/>
    <row r="1860" ht="20.05" customHeight="1" x14ac:dyDescent="0.3"/>
    <row r="1861" ht="20.05" customHeight="1" x14ac:dyDescent="0.3"/>
    <row r="1862" ht="20.05" customHeight="1" x14ac:dyDescent="0.3"/>
    <row r="1863" ht="20.05" customHeight="1" x14ac:dyDescent="0.3"/>
    <row r="1864" ht="20.05" customHeight="1" x14ac:dyDescent="0.3"/>
    <row r="1865" ht="20.05" customHeight="1" x14ac:dyDescent="0.3"/>
    <row r="1866" ht="20.05" customHeight="1" x14ac:dyDescent="0.3"/>
    <row r="1867" ht="20.05" customHeight="1" x14ac:dyDescent="0.3"/>
    <row r="1868" ht="20.05" customHeight="1" x14ac:dyDescent="0.3"/>
    <row r="1869" ht="20.05" customHeight="1" x14ac:dyDescent="0.3"/>
    <row r="1870" ht="20.05" customHeight="1" x14ac:dyDescent="0.3"/>
    <row r="1871" ht="20.05" customHeight="1" x14ac:dyDescent="0.3"/>
    <row r="1872" ht="20.05" customHeight="1" x14ac:dyDescent="0.3"/>
    <row r="1873" ht="20.05" customHeight="1" x14ac:dyDescent="0.3"/>
    <row r="1874" ht="20.05" customHeight="1" x14ac:dyDescent="0.3"/>
    <row r="1875" ht="20.05" customHeight="1" x14ac:dyDescent="0.3"/>
    <row r="1876" ht="20.05" customHeight="1" x14ac:dyDescent="0.3"/>
    <row r="1877" ht="20.05" customHeight="1" x14ac:dyDescent="0.3"/>
    <row r="1878" ht="20.05" customHeight="1" x14ac:dyDescent="0.3"/>
    <row r="1879" ht="20.05" customHeight="1" x14ac:dyDescent="0.3"/>
    <row r="1880" ht="20.05" customHeight="1" x14ac:dyDescent="0.3"/>
    <row r="1881" ht="20.05" customHeight="1" x14ac:dyDescent="0.3"/>
    <row r="1882" ht="20.05" customHeight="1" x14ac:dyDescent="0.3"/>
    <row r="1883" ht="20.05" customHeight="1" x14ac:dyDescent="0.3"/>
    <row r="1884" ht="20.05" customHeight="1" x14ac:dyDescent="0.3"/>
    <row r="1885" ht="20.05" customHeight="1" x14ac:dyDescent="0.3"/>
    <row r="1886" ht="20.05" customHeight="1" x14ac:dyDescent="0.3"/>
    <row r="1887" ht="20.05" customHeight="1" x14ac:dyDescent="0.3"/>
    <row r="1888" ht="20.05" customHeight="1" x14ac:dyDescent="0.3"/>
    <row r="1889" ht="20.05" customHeight="1" x14ac:dyDescent="0.3"/>
    <row r="1890" ht="20.05" customHeight="1" x14ac:dyDescent="0.3"/>
    <row r="1891" ht="20.05" customHeight="1" x14ac:dyDescent="0.3"/>
    <row r="1892" ht="20.05" customHeight="1" x14ac:dyDescent="0.3"/>
    <row r="1893" ht="20.05" customHeight="1" x14ac:dyDescent="0.3"/>
    <row r="1894" ht="20.05" customHeight="1" x14ac:dyDescent="0.3"/>
    <row r="1895" ht="20.05" customHeight="1" x14ac:dyDescent="0.3"/>
    <row r="1896" ht="20.05" customHeight="1" x14ac:dyDescent="0.3"/>
    <row r="1897" ht="20.05" customHeight="1" x14ac:dyDescent="0.3"/>
    <row r="1898" ht="20.05" customHeight="1" x14ac:dyDescent="0.3"/>
    <row r="1899" ht="20.05" customHeight="1" x14ac:dyDescent="0.3"/>
    <row r="1900" ht="20.05" customHeight="1" x14ac:dyDescent="0.3"/>
    <row r="1901" ht="20.05" customHeight="1" x14ac:dyDescent="0.3"/>
    <row r="1902" ht="20.05" customHeight="1" x14ac:dyDescent="0.3"/>
    <row r="1903" ht="20.05" customHeight="1" x14ac:dyDescent="0.3"/>
    <row r="1904" ht="20.05" customHeight="1" x14ac:dyDescent="0.3"/>
    <row r="1905" ht="20.05" customHeight="1" x14ac:dyDescent="0.3"/>
    <row r="1906" ht="20.05" customHeight="1" x14ac:dyDescent="0.3"/>
    <row r="1907" ht="20.05" customHeight="1" x14ac:dyDescent="0.3"/>
    <row r="1908" ht="20.05" customHeight="1" x14ac:dyDescent="0.3"/>
    <row r="1909" ht="20.05" customHeight="1" x14ac:dyDescent="0.3"/>
    <row r="1910" ht="20.05" customHeight="1" x14ac:dyDescent="0.3"/>
    <row r="1911" ht="20.05" customHeight="1" x14ac:dyDescent="0.3"/>
    <row r="1912" ht="20.05" customHeight="1" x14ac:dyDescent="0.3"/>
    <row r="1913" ht="20.05" customHeight="1" x14ac:dyDescent="0.3"/>
    <row r="1914" ht="20.05" customHeight="1" x14ac:dyDescent="0.3"/>
    <row r="1915" ht="20.05" customHeight="1" x14ac:dyDescent="0.3"/>
    <row r="1916" ht="20.05" customHeight="1" x14ac:dyDescent="0.3"/>
    <row r="1917" ht="20.05" customHeight="1" x14ac:dyDescent="0.3"/>
    <row r="1918" ht="20.05" customHeight="1" x14ac:dyDescent="0.3"/>
    <row r="1919" ht="20.05" customHeight="1" x14ac:dyDescent="0.3"/>
    <row r="1920" ht="20.05" customHeight="1" x14ac:dyDescent="0.3"/>
    <row r="1921" ht="20.05" customHeight="1" x14ac:dyDescent="0.3"/>
    <row r="1922" ht="20.05" customHeight="1" x14ac:dyDescent="0.3"/>
    <row r="1923" ht="20.05" customHeight="1" x14ac:dyDescent="0.3"/>
    <row r="1924" ht="20.05" customHeight="1" x14ac:dyDescent="0.3"/>
    <row r="1925" ht="20.05" customHeight="1" x14ac:dyDescent="0.3"/>
    <row r="1926" ht="20.05" customHeight="1" x14ac:dyDescent="0.3"/>
    <row r="1927" ht="20.05" customHeight="1" x14ac:dyDescent="0.3"/>
    <row r="1928" ht="20.05" customHeight="1" x14ac:dyDescent="0.3"/>
    <row r="1929" ht="20.05" customHeight="1" x14ac:dyDescent="0.3"/>
    <row r="1930" ht="20.05" customHeight="1" x14ac:dyDescent="0.3"/>
    <row r="1931" ht="20.05" customHeight="1" x14ac:dyDescent="0.3"/>
    <row r="1932" ht="20.05" customHeight="1" x14ac:dyDescent="0.3"/>
    <row r="1933" ht="20.05" customHeight="1" x14ac:dyDescent="0.3"/>
    <row r="1934" ht="20.05" customHeight="1" x14ac:dyDescent="0.3"/>
    <row r="1935" ht="20.05" customHeight="1" x14ac:dyDescent="0.3"/>
    <row r="1936" ht="20.05" customHeight="1" x14ac:dyDescent="0.3"/>
    <row r="1937" ht="20.05" customHeight="1" x14ac:dyDescent="0.3"/>
    <row r="1938" ht="20.05" customHeight="1" x14ac:dyDescent="0.3"/>
    <row r="1939" ht="20.05" customHeight="1" x14ac:dyDescent="0.3"/>
    <row r="1940" ht="20.05" customHeight="1" x14ac:dyDescent="0.3"/>
    <row r="1941" ht="20.05" customHeight="1" x14ac:dyDescent="0.3"/>
    <row r="1942" ht="20.05" customHeight="1" x14ac:dyDescent="0.3"/>
    <row r="1943" ht="20.05" customHeight="1" x14ac:dyDescent="0.3"/>
    <row r="1944" ht="20.05" customHeight="1" x14ac:dyDescent="0.3"/>
    <row r="1945" ht="20.05" customHeight="1" x14ac:dyDescent="0.3"/>
    <row r="1946" ht="20.05" customHeight="1" x14ac:dyDescent="0.3"/>
    <row r="1947" ht="20.05" customHeight="1" x14ac:dyDescent="0.3"/>
    <row r="1948" ht="20.05" customHeight="1" x14ac:dyDescent="0.3"/>
    <row r="1949" ht="20.05" customHeight="1" x14ac:dyDescent="0.3"/>
    <row r="1950" ht="20.05" customHeight="1" x14ac:dyDescent="0.3"/>
    <row r="1951" ht="20.05" customHeight="1" x14ac:dyDescent="0.3"/>
    <row r="1952" ht="20.05" customHeight="1" x14ac:dyDescent="0.3"/>
    <row r="1953" ht="20.05" customHeight="1" x14ac:dyDescent="0.3"/>
    <row r="1954" ht="20.05" customHeight="1" x14ac:dyDescent="0.3"/>
    <row r="1955" ht="20.05" customHeight="1" x14ac:dyDescent="0.3"/>
    <row r="1956" ht="20.05" customHeight="1" x14ac:dyDescent="0.3"/>
    <row r="1957" ht="20.05" customHeight="1" x14ac:dyDescent="0.3"/>
    <row r="1958" ht="20.05" customHeight="1" x14ac:dyDescent="0.3"/>
    <row r="1959" ht="20.05" customHeight="1" x14ac:dyDescent="0.3"/>
    <row r="1960" ht="20.05" customHeight="1" x14ac:dyDescent="0.3"/>
    <row r="1961" ht="20.05" customHeight="1" x14ac:dyDescent="0.3"/>
    <row r="1962" ht="20.05" customHeight="1" x14ac:dyDescent="0.3"/>
    <row r="1963" ht="20.05" customHeight="1" x14ac:dyDescent="0.3"/>
    <row r="1964" ht="20.05" customHeight="1" x14ac:dyDescent="0.3"/>
    <row r="1965" ht="20.05" customHeight="1" x14ac:dyDescent="0.3"/>
    <row r="1966" ht="20.05" customHeight="1" x14ac:dyDescent="0.3"/>
    <row r="1967" ht="20.05" customHeight="1" x14ac:dyDescent="0.3"/>
    <row r="1968" ht="20.05" customHeight="1" x14ac:dyDescent="0.3"/>
    <row r="1969" ht="20.05" customHeight="1" x14ac:dyDescent="0.3"/>
    <row r="1970" ht="20.05" customHeight="1" x14ac:dyDescent="0.3"/>
    <row r="1971" ht="20.05" customHeight="1" x14ac:dyDescent="0.3"/>
    <row r="1972" ht="20.05" customHeight="1" x14ac:dyDescent="0.3"/>
    <row r="1973" ht="20.05" customHeight="1" x14ac:dyDescent="0.3"/>
    <row r="1974" ht="20.05" customHeight="1" x14ac:dyDescent="0.3"/>
    <row r="1975" ht="20.05" customHeight="1" x14ac:dyDescent="0.3"/>
    <row r="1976" ht="20.05" customHeight="1" x14ac:dyDescent="0.3"/>
    <row r="1977" ht="20.05" customHeight="1" x14ac:dyDescent="0.3"/>
    <row r="1978" ht="20.05" customHeight="1" x14ac:dyDescent="0.3"/>
    <row r="1979" ht="20.05" customHeight="1" x14ac:dyDescent="0.3"/>
    <row r="1980" ht="20.05" customHeight="1" x14ac:dyDescent="0.3"/>
    <row r="1981" ht="20.05" customHeight="1" x14ac:dyDescent="0.3"/>
    <row r="1982" ht="20.05" customHeight="1" x14ac:dyDescent="0.3"/>
    <row r="1983" ht="20.05" customHeight="1" x14ac:dyDescent="0.3"/>
    <row r="1984" ht="20.05" customHeight="1" x14ac:dyDescent="0.3"/>
    <row r="1985" ht="20.05" customHeight="1" x14ac:dyDescent="0.3"/>
    <row r="1986" ht="20.05" customHeight="1" x14ac:dyDescent="0.3"/>
    <row r="1987" ht="20.05" customHeight="1" x14ac:dyDescent="0.3"/>
    <row r="1988" ht="20.05" customHeight="1" x14ac:dyDescent="0.3"/>
    <row r="1989" ht="20.05" customHeight="1" x14ac:dyDescent="0.3"/>
    <row r="1990" ht="20.05" customHeight="1" x14ac:dyDescent="0.3"/>
    <row r="1991" ht="20.05" customHeight="1" x14ac:dyDescent="0.3"/>
    <row r="1992" ht="20.05" customHeight="1" x14ac:dyDescent="0.3"/>
    <row r="1993" ht="20.05" customHeight="1" x14ac:dyDescent="0.3"/>
    <row r="1994" ht="20.05" customHeight="1" x14ac:dyDescent="0.3"/>
    <row r="1995" ht="20.05" customHeight="1" x14ac:dyDescent="0.3"/>
    <row r="1996" ht="20.05" customHeight="1" x14ac:dyDescent="0.3"/>
    <row r="1997" ht="20.05" customHeight="1" x14ac:dyDescent="0.3"/>
    <row r="1998" ht="20.05" customHeight="1" x14ac:dyDescent="0.3"/>
    <row r="1999" ht="20.05" customHeight="1" x14ac:dyDescent="0.3"/>
    <row r="2000" ht="20.05" customHeight="1" x14ac:dyDescent="0.3"/>
    <row r="2001" ht="20.05" customHeight="1" x14ac:dyDescent="0.3"/>
    <row r="2002" ht="20.05" customHeight="1" x14ac:dyDescent="0.3"/>
    <row r="2003" ht="20.05" customHeight="1" x14ac:dyDescent="0.3"/>
    <row r="2004" ht="20.05" customHeight="1" x14ac:dyDescent="0.3"/>
    <row r="2005" ht="20.05" customHeight="1" x14ac:dyDescent="0.3"/>
    <row r="2006" ht="20.05" customHeight="1" x14ac:dyDescent="0.3"/>
    <row r="2007" ht="20.05" customHeight="1" x14ac:dyDescent="0.3"/>
    <row r="2008" ht="20.05" customHeight="1" x14ac:dyDescent="0.3"/>
    <row r="2009" ht="20.05" customHeight="1" x14ac:dyDescent="0.3"/>
    <row r="2010" ht="20.05" customHeight="1" x14ac:dyDescent="0.3"/>
    <row r="2011" ht="20.05" customHeight="1" x14ac:dyDescent="0.3"/>
    <row r="2012" ht="20.05" customHeight="1" x14ac:dyDescent="0.3"/>
    <row r="2013" ht="20.05" customHeight="1" x14ac:dyDescent="0.3"/>
    <row r="2014" ht="20.05" customHeight="1" x14ac:dyDescent="0.3"/>
    <row r="2015" ht="20.05" customHeight="1" x14ac:dyDescent="0.3"/>
    <row r="2016" ht="20.05" customHeight="1" x14ac:dyDescent="0.3"/>
    <row r="2017" ht="20.05" customHeight="1" x14ac:dyDescent="0.3"/>
    <row r="2018" ht="20.05" customHeight="1" x14ac:dyDescent="0.3"/>
    <row r="2019" ht="20.05" customHeight="1" x14ac:dyDescent="0.3"/>
    <row r="2020" ht="20.05" customHeight="1" x14ac:dyDescent="0.3"/>
    <row r="2021" ht="20.05" customHeight="1" x14ac:dyDescent="0.3"/>
    <row r="2022" ht="20.05" customHeight="1" x14ac:dyDescent="0.3"/>
    <row r="2023" ht="20.05" customHeight="1" x14ac:dyDescent="0.3"/>
    <row r="2024" ht="20.05" customHeight="1" x14ac:dyDescent="0.3"/>
    <row r="2025" ht="20.05" customHeight="1" x14ac:dyDescent="0.3"/>
    <row r="2026" ht="20.05" customHeight="1" x14ac:dyDescent="0.3"/>
    <row r="2027" ht="20.05" customHeight="1" x14ac:dyDescent="0.3"/>
    <row r="2028" ht="20.05" customHeight="1" x14ac:dyDescent="0.3"/>
    <row r="2029" ht="20.05" customHeight="1" x14ac:dyDescent="0.3"/>
    <row r="2030" ht="20.05" customHeight="1" x14ac:dyDescent="0.3"/>
    <row r="2031" ht="20.05" customHeight="1" x14ac:dyDescent="0.3"/>
    <row r="2032" ht="20.05" customHeight="1" x14ac:dyDescent="0.3"/>
    <row r="2033" ht="20.05" customHeight="1" x14ac:dyDescent="0.3"/>
    <row r="2034" ht="20.05" customHeight="1" x14ac:dyDescent="0.3"/>
    <row r="2035" ht="20.05" customHeight="1" x14ac:dyDescent="0.3"/>
    <row r="2036" ht="20.05" customHeight="1" x14ac:dyDescent="0.3"/>
    <row r="2037" ht="20.05" customHeight="1" x14ac:dyDescent="0.3"/>
    <row r="2038" ht="20.05" customHeight="1" x14ac:dyDescent="0.3"/>
    <row r="2039" ht="20.05" customHeight="1" x14ac:dyDescent="0.3"/>
    <row r="2040" ht="20.05" customHeight="1" x14ac:dyDescent="0.3"/>
    <row r="2041" ht="20.05" customHeight="1" x14ac:dyDescent="0.3"/>
    <row r="2042" ht="20.05" customHeight="1" x14ac:dyDescent="0.3"/>
    <row r="2043" ht="20.05" customHeight="1" x14ac:dyDescent="0.3"/>
    <row r="2044" ht="20.05" customHeight="1" x14ac:dyDescent="0.3"/>
    <row r="2045" ht="20.05" customHeight="1" x14ac:dyDescent="0.3"/>
    <row r="2046" ht="20.05" customHeight="1" x14ac:dyDescent="0.3"/>
    <row r="2047" ht="20.05" customHeight="1" x14ac:dyDescent="0.3"/>
    <row r="2048" ht="20.05" customHeight="1" x14ac:dyDescent="0.3"/>
    <row r="2049" ht="20.05" customHeight="1" x14ac:dyDescent="0.3"/>
    <row r="2050" ht="20.05" customHeight="1" x14ac:dyDescent="0.3"/>
    <row r="2051" ht="20.05" customHeight="1" x14ac:dyDescent="0.3"/>
    <row r="2052" ht="20.05" customHeight="1" x14ac:dyDescent="0.3"/>
    <row r="2053" ht="20.05" customHeight="1" x14ac:dyDescent="0.3"/>
    <row r="2054" ht="20.05" customHeight="1" x14ac:dyDescent="0.3"/>
    <row r="2055" ht="20.05" customHeight="1" x14ac:dyDescent="0.3"/>
    <row r="2056" ht="20.05" customHeight="1" x14ac:dyDescent="0.3"/>
    <row r="2057" ht="20.05" customHeight="1" x14ac:dyDescent="0.3"/>
    <row r="2058" ht="20.05" customHeight="1" x14ac:dyDescent="0.3"/>
    <row r="2059" ht="20.05" customHeight="1" x14ac:dyDescent="0.3"/>
    <row r="2060" ht="20.05" customHeight="1" x14ac:dyDescent="0.3"/>
    <row r="2061" ht="20.05" customHeight="1" x14ac:dyDescent="0.3"/>
    <row r="2062" ht="20.05" customHeight="1" x14ac:dyDescent="0.3"/>
    <row r="2063" ht="20.05" customHeight="1" x14ac:dyDescent="0.3"/>
    <row r="2064" ht="20.05" customHeight="1" x14ac:dyDescent="0.3"/>
    <row r="2065" ht="20.05" customHeight="1" x14ac:dyDescent="0.3"/>
    <row r="2066" ht="20.05" customHeight="1" x14ac:dyDescent="0.3"/>
    <row r="2067" ht="20.05" customHeight="1" x14ac:dyDescent="0.3"/>
    <row r="2068" ht="20.05" customHeight="1" x14ac:dyDescent="0.3"/>
    <row r="2069" ht="20.05" customHeight="1" x14ac:dyDescent="0.3"/>
    <row r="2070" ht="20.05" customHeight="1" x14ac:dyDescent="0.3"/>
    <row r="2071" ht="20.05" customHeight="1" x14ac:dyDescent="0.3"/>
    <row r="2072" ht="20.05" customHeight="1" x14ac:dyDescent="0.3"/>
    <row r="2073" ht="20.05" customHeight="1" x14ac:dyDescent="0.3"/>
    <row r="2074" ht="20.05" customHeight="1" x14ac:dyDescent="0.3"/>
    <row r="2075" ht="20.05" customHeight="1" x14ac:dyDescent="0.3"/>
    <row r="2076" ht="20.05" customHeight="1" x14ac:dyDescent="0.3"/>
    <row r="2077" ht="20.05" customHeight="1" x14ac:dyDescent="0.3"/>
    <row r="2078" ht="20.05" customHeight="1" x14ac:dyDescent="0.3"/>
    <row r="2079" ht="20.05" customHeight="1" x14ac:dyDescent="0.3"/>
    <row r="2080" ht="20.05" customHeight="1" x14ac:dyDescent="0.3"/>
    <row r="2081" ht="20.05" customHeight="1" x14ac:dyDescent="0.3"/>
    <row r="2082" ht="20.05" customHeight="1" x14ac:dyDescent="0.3"/>
    <row r="2083" ht="20.05" customHeight="1" x14ac:dyDescent="0.3"/>
    <row r="2084" ht="20.05" customHeight="1" x14ac:dyDescent="0.3"/>
    <row r="2085" ht="20.05" customHeight="1" x14ac:dyDescent="0.3"/>
    <row r="2086" ht="20.05" customHeight="1" x14ac:dyDescent="0.3"/>
    <row r="2087" ht="20.05" customHeight="1" x14ac:dyDescent="0.3"/>
    <row r="2088" ht="20.05" customHeight="1" x14ac:dyDescent="0.3"/>
    <row r="2089" ht="20.05" customHeight="1" x14ac:dyDescent="0.3"/>
    <row r="2090" ht="20.05" customHeight="1" x14ac:dyDescent="0.3"/>
    <row r="2091" ht="20.05" customHeight="1" x14ac:dyDescent="0.3"/>
    <row r="2092" ht="20.05" customHeight="1" x14ac:dyDescent="0.3"/>
    <row r="2093" ht="20.05" customHeight="1" x14ac:dyDescent="0.3"/>
    <row r="2094" ht="20.05" customHeight="1" x14ac:dyDescent="0.3"/>
    <row r="2095" ht="20.05" customHeight="1" x14ac:dyDescent="0.3"/>
    <row r="2096" ht="20.05" customHeight="1" x14ac:dyDescent="0.3"/>
    <row r="2097" ht="20.05" customHeight="1" x14ac:dyDescent="0.3"/>
    <row r="2098" ht="20.05" customHeight="1" x14ac:dyDescent="0.3"/>
    <row r="2099" ht="20.05" customHeight="1" x14ac:dyDescent="0.3"/>
    <row r="2100" ht="20.05" customHeight="1" x14ac:dyDescent="0.3"/>
    <row r="2101" ht="20.05" customHeight="1" x14ac:dyDescent="0.3"/>
    <row r="2102" ht="20.05" customHeight="1" x14ac:dyDescent="0.3"/>
    <row r="2103" ht="20.05" customHeight="1" x14ac:dyDescent="0.3"/>
    <row r="2104" ht="20.05" customHeight="1" x14ac:dyDescent="0.3"/>
    <row r="2105" ht="20.05" customHeight="1" x14ac:dyDescent="0.3"/>
    <row r="2106" ht="20.05" customHeight="1" x14ac:dyDescent="0.3"/>
    <row r="2107" ht="20.05" customHeight="1" x14ac:dyDescent="0.3"/>
    <row r="2108" ht="20.05" customHeight="1" x14ac:dyDescent="0.3"/>
    <row r="2109" ht="20.05" customHeight="1" x14ac:dyDescent="0.3"/>
    <row r="2110" ht="20.05" customHeight="1" x14ac:dyDescent="0.3"/>
    <row r="2111" ht="20.05" customHeight="1" x14ac:dyDescent="0.3"/>
    <row r="2112" ht="20.05" customHeight="1" x14ac:dyDescent="0.3"/>
    <row r="2113" ht="20.05" customHeight="1" x14ac:dyDescent="0.3"/>
    <row r="2114" ht="20.05" customHeight="1" x14ac:dyDescent="0.3"/>
    <row r="2115" ht="20.05" customHeight="1" x14ac:dyDescent="0.3"/>
    <row r="2116" ht="20.05" customHeight="1" x14ac:dyDescent="0.3"/>
    <row r="2117" ht="20.05" customHeight="1" x14ac:dyDescent="0.3"/>
    <row r="2118" ht="20.05" customHeight="1" x14ac:dyDescent="0.3"/>
    <row r="2119" ht="20.05" customHeight="1" x14ac:dyDescent="0.3"/>
    <row r="2120" ht="20.05" customHeight="1" x14ac:dyDescent="0.3"/>
    <row r="2121" ht="20.05" customHeight="1" x14ac:dyDescent="0.3"/>
    <row r="2122" ht="20.05" customHeight="1" x14ac:dyDescent="0.3"/>
    <row r="2123" ht="20.05" customHeight="1" x14ac:dyDescent="0.3"/>
    <row r="2124" ht="20.05" customHeight="1" x14ac:dyDescent="0.3"/>
    <row r="2125" ht="20.05" customHeight="1" x14ac:dyDescent="0.3"/>
    <row r="2126" ht="20.05" customHeight="1" x14ac:dyDescent="0.3"/>
    <row r="2127" ht="20.05" customHeight="1" x14ac:dyDescent="0.3"/>
    <row r="2128" ht="20.05" customHeight="1" x14ac:dyDescent="0.3"/>
    <row r="2129" ht="20.05" customHeight="1" x14ac:dyDescent="0.3"/>
    <row r="2130" ht="20.05" customHeight="1" x14ac:dyDescent="0.3"/>
    <row r="2131" ht="20.05" customHeight="1" x14ac:dyDescent="0.3"/>
    <row r="2132" ht="20.05" customHeight="1" x14ac:dyDescent="0.3"/>
    <row r="2133" ht="20.05" customHeight="1" x14ac:dyDescent="0.3"/>
    <row r="2134" ht="20.05" customHeight="1" x14ac:dyDescent="0.3"/>
    <row r="2135" ht="20.05" customHeight="1" x14ac:dyDescent="0.3"/>
    <row r="2136" ht="20.05" customHeight="1" x14ac:dyDescent="0.3"/>
    <row r="2137" ht="20.05" customHeight="1" x14ac:dyDescent="0.3"/>
    <row r="2138" ht="20.05" customHeight="1" x14ac:dyDescent="0.3"/>
    <row r="2139" ht="20.05" customHeight="1" x14ac:dyDescent="0.3"/>
    <row r="2140" ht="20.05" customHeight="1" x14ac:dyDescent="0.3"/>
    <row r="2141" ht="20.05" customHeight="1" x14ac:dyDescent="0.3"/>
    <row r="2142" ht="20.05" customHeight="1" x14ac:dyDescent="0.3"/>
    <row r="2143" ht="20.05" customHeight="1" x14ac:dyDescent="0.3"/>
    <row r="2144" ht="20.05" customHeight="1" x14ac:dyDescent="0.3"/>
    <row r="2145" ht="20.05" customHeight="1" x14ac:dyDescent="0.3"/>
    <row r="2146" ht="20.05" customHeight="1" x14ac:dyDescent="0.3"/>
    <row r="2147" ht="20.05" customHeight="1" x14ac:dyDescent="0.3"/>
    <row r="2148" ht="20.05" customHeight="1" x14ac:dyDescent="0.3"/>
    <row r="2149" ht="20.05" customHeight="1" x14ac:dyDescent="0.3"/>
    <row r="2150" ht="20.05" customHeight="1" x14ac:dyDescent="0.3"/>
    <row r="2151" ht="20.05" customHeight="1" x14ac:dyDescent="0.3"/>
    <row r="2152" ht="20.05" customHeight="1" x14ac:dyDescent="0.3"/>
    <row r="2153" ht="20.05" customHeight="1" x14ac:dyDescent="0.3"/>
    <row r="2154" ht="20.05" customHeight="1" x14ac:dyDescent="0.3"/>
    <row r="2155" ht="20.05" customHeight="1" x14ac:dyDescent="0.3"/>
    <row r="2156" ht="20.05" customHeight="1" x14ac:dyDescent="0.3"/>
    <row r="2157" ht="20.05" customHeight="1" x14ac:dyDescent="0.3"/>
    <row r="2158" ht="20.05" customHeight="1" x14ac:dyDescent="0.3"/>
    <row r="2159" ht="20.05" customHeight="1" x14ac:dyDescent="0.3"/>
    <row r="2160" ht="20.05" customHeight="1" x14ac:dyDescent="0.3"/>
    <row r="2161" ht="20.05" customHeight="1" x14ac:dyDescent="0.3"/>
    <row r="2162" ht="20.05" customHeight="1" x14ac:dyDescent="0.3"/>
    <row r="2163" ht="20.05" customHeight="1" x14ac:dyDescent="0.3"/>
    <row r="2164" ht="20.05" customHeight="1" x14ac:dyDescent="0.3"/>
    <row r="2165" ht="20.05" customHeight="1" x14ac:dyDescent="0.3"/>
    <row r="2166" ht="20.05" customHeight="1" x14ac:dyDescent="0.3"/>
    <row r="2167" ht="20.05" customHeight="1" x14ac:dyDescent="0.3"/>
    <row r="2168" ht="20.05" customHeight="1" x14ac:dyDescent="0.3"/>
    <row r="2169" ht="20.05" customHeight="1" x14ac:dyDescent="0.3"/>
    <row r="2170" ht="20.05" customHeight="1" x14ac:dyDescent="0.3"/>
    <row r="2171" ht="20.05" customHeight="1" x14ac:dyDescent="0.3"/>
    <row r="2172" ht="20.05" customHeight="1" x14ac:dyDescent="0.3"/>
    <row r="2173" ht="20.05" customHeight="1" x14ac:dyDescent="0.3"/>
    <row r="2174" ht="20.05" customHeight="1" x14ac:dyDescent="0.3"/>
    <row r="2175" ht="20.05" customHeight="1" x14ac:dyDescent="0.3"/>
    <row r="2176" ht="20.05" customHeight="1" x14ac:dyDescent="0.3"/>
    <row r="2177" ht="20.05" customHeight="1" x14ac:dyDescent="0.3"/>
    <row r="2178" ht="20.05" customHeight="1" x14ac:dyDescent="0.3"/>
    <row r="2179" ht="20.05" customHeight="1" x14ac:dyDescent="0.3"/>
    <row r="2180" ht="20.05" customHeight="1" x14ac:dyDescent="0.3"/>
    <row r="2181" ht="20.05" customHeight="1" x14ac:dyDescent="0.3"/>
    <row r="2182" ht="20.05" customHeight="1" x14ac:dyDescent="0.3"/>
    <row r="2183" ht="20.05" customHeight="1" x14ac:dyDescent="0.3"/>
    <row r="2184" ht="20.05" customHeight="1" x14ac:dyDescent="0.3"/>
    <row r="2185" ht="20.05" customHeight="1" x14ac:dyDescent="0.3"/>
    <row r="2186" ht="20.05" customHeight="1" x14ac:dyDescent="0.3"/>
    <row r="2187" ht="20.05" customHeight="1" x14ac:dyDescent="0.3"/>
    <row r="2188" ht="20.05" customHeight="1" x14ac:dyDescent="0.3"/>
    <row r="2189" ht="20.05" customHeight="1" x14ac:dyDescent="0.3"/>
    <row r="2190" ht="20.05" customHeight="1" x14ac:dyDescent="0.3"/>
    <row r="2191" ht="20.05" customHeight="1" x14ac:dyDescent="0.3"/>
    <row r="2192" ht="20.05" customHeight="1" x14ac:dyDescent="0.3"/>
    <row r="2193" ht="20.05" customHeight="1" x14ac:dyDescent="0.3"/>
    <row r="2194" ht="20.05" customHeight="1" x14ac:dyDescent="0.3"/>
    <row r="2195" ht="20.05" customHeight="1" x14ac:dyDescent="0.3"/>
    <row r="2196" ht="20.05" customHeight="1" x14ac:dyDescent="0.3"/>
    <row r="2197" ht="20.05" customHeight="1" x14ac:dyDescent="0.3"/>
  </sheetData>
  <sheetProtection selectLockedCells="1"/>
  <mergeCells count="1">
    <mergeCell ref="A1:B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EC93E-5B4D-470E-9ADB-BCD6A88CF9E1}">
  <sheetPr codeName="Sheet3">
    <tabColor theme="0" tint="-0.499984740745262"/>
    <pageSetUpPr fitToPage="1"/>
  </sheetPr>
  <dimension ref="A1"/>
  <sheetViews>
    <sheetView workbookViewId="0">
      <selection activeCell="N24" sqref="N24"/>
    </sheetView>
  </sheetViews>
  <sheetFormatPr defaultRowHeight="15.05" x14ac:dyDescent="0.3"/>
  <cols>
    <col min="1" max="1" width="18.33203125" bestFit="1" customWidth="1"/>
    <col min="2" max="2" width="9.33203125" bestFit="1" customWidth="1"/>
    <col min="3" max="3" width="44.33203125" bestFit="1" customWidth="1"/>
    <col min="4" max="4" width="8.21875" customWidth="1"/>
    <col min="5" max="5" width="6.5546875" customWidth="1"/>
    <col min="6" max="6" width="9.109375" customWidth="1"/>
    <col min="7" max="7" width="7.6640625" customWidth="1"/>
    <col min="8" max="8" width="22.6640625" customWidth="1"/>
    <col min="9" max="9" width="8" customWidth="1"/>
    <col min="10" max="10" width="11.33203125" customWidth="1"/>
    <col min="11" max="16" width="12.33203125" customWidth="1"/>
  </cols>
  <sheetData/>
  <sheetProtection selectLockedCells="1"/>
  <pageMargins left="0.7" right="0.7" top="0.75" bottom="0.75" header="0.3" footer="0.3"/>
  <pageSetup paperSize="9" scale="1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BBD59-978B-4A50-808A-DD818AEF2F4F}">
  <sheetPr codeName="Sheet4">
    <tabColor theme="0" tint="-0.499984740745262"/>
  </sheetPr>
  <dimension ref="A1:F2197"/>
  <sheetViews>
    <sheetView workbookViewId="0">
      <selection activeCell="N24" sqref="N24"/>
    </sheetView>
  </sheetViews>
  <sheetFormatPr defaultColWidth="9.109375" defaultRowHeight="15.05" x14ac:dyDescent="0.3"/>
  <cols>
    <col min="1" max="1" width="27" style="1" customWidth="1"/>
    <col min="2" max="2" width="32" style="1" customWidth="1"/>
    <col min="3" max="3" width="19.109375" style="1" customWidth="1"/>
    <col min="4" max="4" width="83" style="1" customWidth="1"/>
    <col min="5" max="5" width="18.5546875" style="1" customWidth="1"/>
    <col min="6" max="16384" width="9.109375" style="1"/>
  </cols>
  <sheetData>
    <row r="1" spans="1:6" x14ac:dyDescent="0.3">
      <c r="A1" s="47" t="s">
        <v>40</v>
      </c>
      <c r="B1" s="47" t="s">
        <v>371</v>
      </c>
      <c r="C1" s="47" t="s">
        <v>372</v>
      </c>
      <c r="D1" s="47" t="s">
        <v>9</v>
      </c>
      <c r="E1" s="47" t="s">
        <v>41</v>
      </c>
    </row>
    <row r="2" spans="1:6" x14ac:dyDescent="0.3">
      <c r="A2" s="48" t="s">
        <v>10</v>
      </c>
      <c r="B2" s="48" t="s">
        <v>11</v>
      </c>
      <c r="C2" s="49">
        <v>150</v>
      </c>
      <c r="D2" s="48" t="s">
        <v>12</v>
      </c>
      <c r="E2" s="49" t="s">
        <v>13</v>
      </c>
    </row>
    <row r="3" spans="1:6" x14ac:dyDescent="0.3">
      <c r="A3" s="48" t="s">
        <v>14</v>
      </c>
      <c r="B3" s="48" t="s">
        <v>15</v>
      </c>
      <c r="C3" s="49">
        <v>526</v>
      </c>
      <c r="D3" s="48" t="s">
        <v>16</v>
      </c>
      <c r="E3" s="49" t="s">
        <v>17</v>
      </c>
    </row>
    <row r="4" spans="1:6" x14ac:dyDescent="0.3">
      <c r="A4" s="48" t="s">
        <v>18</v>
      </c>
      <c r="B4" s="48" t="s">
        <v>19</v>
      </c>
      <c r="C4" s="49">
        <v>72</v>
      </c>
      <c r="D4" s="48" t="s">
        <v>20</v>
      </c>
      <c r="E4" s="49" t="s">
        <v>13</v>
      </c>
    </row>
    <row r="5" spans="1:6" x14ac:dyDescent="0.3">
      <c r="A5" s="48" t="s">
        <v>21</v>
      </c>
      <c r="B5" s="48" t="s">
        <v>19</v>
      </c>
      <c r="C5" s="49">
        <v>74</v>
      </c>
      <c r="D5" s="48" t="s">
        <v>22</v>
      </c>
      <c r="E5" s="49" t="s">
        <v>17</v>
      </c>
    </row>
    <row r="6" spans="1:6" x14ac:dyDescent="0.3">
      <c r="A6" s="48" t="s">
        <v>23</v>
      </c>
      <c r="B6" s="48" t="s">
        <v>19</v>
      </c>
      <c r="C6" s="49">
        <v>76</v>
      </c>
      <c r="D6" s="48" t="s">
        <v>24</v>
      </c>
      <c r="E6" s="49" t="s">
        <v>17</v>
      </c>
      <c r="F6"/>
    </row>
    <row r="7" spans="1:6" x14ac:dyDescent="0.3">
      <c r="A7" s="48" t="s">
        <v>25</v>
      </c>
      <c r="B7" s="48" t="s">
        <v>26</v>
      </c>
      <c r="C7" s="48"/>
      <c r="D7" s="48" t="s">
        <v>42</v>
      </c>
      <c r="E7" s="49" t="s">
        <v>29</v>
      </c>
      <c r="F7"/>
    </row>
    <row r="8" spans="1:6" x14ac:dyDescent="0.3">
      <c r="A8" s="48" t="s">
        <v>25</v>
      </c>
      <c r="B8" s="48" t="s">
        <v>26</v>
      </c>
      <c r="C8" s="48"/>
      <c r="D8" s="48" t="s">
        <v>43</v>
      </c>
      <c r="E8" s="49" t="s">
        <v>29</v>
      </c>
    </row>
    <row r="9" spans="1:6" x14ac:dyDescent="0.3">
      <c r="A9" s="48" t="s">
        <v>27</v>
      </c>
      <c r="B9" s="48" t="s">
        <v>19</v>
      </c>
      <c r="C9" s="49">
        <v>238</v>
      </c>
      <c r="D9" s="48" t="s">
        <v>28</v>
      </c>
      <c r="E9" s="49" t="s">
        <v>29</v>
      </c>
    </row>
    <row r="10" spans="1:6" x14ac:dyDescent="0.3">
      <c r="A10" s="48" t="s">
        <v>30</v>
      </c>
      <c r="B10" s="48" t="s">
        <v>31</v>
      </c>
      <c r="C10" s="49">
        <v>661</v>
      </c>
      <c r="D10" s="48" t="s">
        <v>32</v>
      </c>
      <c r="E10" s="49" t="s">
        <v>29</v>
      </c>
    </row>
    <row r="11" spans="1:6" x14ac:dyDescent="0.3">
      <c r="A11" s="48" t="s">
        <v>33</v>
      </c>
      <c r="B11" s="48" t="s">
        <v>31</v>
      </c>
      <c r="C11" s="49">
        <v>677</v>
      </c>
      <c r="D11" s="48" t="s">
        <v>34</v>
      </c>
      <c r="E11" s="49" t="s">
        <v>29</v>
      </c>
    </row>
    <row r="12" spans="1:6" x14ac:dyDescent="0.3">
      <c r="A12" s="48" t="s">
        <v>25</v>
      </c>
      <c r="B12" s="48" t="s">
        <v>19</v>
      </c>
      <c r="C12" s="49">
        <v>96</v>
      </c>
      <c r="D12" s="48" t="s">
        <v>35</v>
      </c>
      <c r="E12" s="49" t="s">
        <v>29</v>
      </c>
    </row>
    <row r="13" spans="1:6" x14ac:dyDescent="0.3">
      <c r="A13" s="48" t="s">
        <v>36</v>
      </c>
      <c r="B13" s="48" t="s">
        <v>11</v>
      </c>
      <c r="C13" s="49">
        <v>164</v>
      </c>
      <c r="D13" s="48" t="s">
        <v>37</v>
      </c>
      <c r="E13" s="49" t="s">
        <v>13</v>
      </c>
    </row>
    <row r="14" spans="1:6" x14ac:dyDescent="0.3">
      <c r="A14" s="48" t="s">
        <v>38</v>
      </c>
      <c r="B14" s="48" t="s">
        <v>19</v>
      </c>
      <c r="C14" s="49">
        <v>124</v>
      </c>
      <c r="D14" s="48" t="s">
        <v>39</v>
      </c>
      <c r="E14" s="49" t="s">
        <v>29</v>
      </c>
    </row>
    <row r="15" spans="1:6" x14ac:dyDescent="0.3">
      <c r="A15" s="48" t="s">
        <v>355</v>
      </c>
      <c r="B15" s="50" t="s">
        <v>15</v>
      </c>
      <c r="C15" s="51"/>
      <c r="D15" s="52" t="s">
        <v>373</v>
      </c>
      <c r="E15" s="53" t="s">
        <v>13</v>
      </c>
    </row>
    <row r="16" spans="1:6" x14ac:dyDescent="0.3">
      <c r="A16" s="54" t="s">
        <v>311</v>
      </c>
      <c r="B16" s="50" t="s">
        <v>15</v>
      </c>
      <c r="C16" s="49">
        <v>120</v>
      </c>
      <c r="D16" s="48" t="s">
        <v>374</v>
      </c>
      <c r="E16" s="53" t="s">
        <v>13</v>
      </c>
    </row>
    <row r="17" spans="1:5" x14ac:dyDescent="0.3">
      <c r="A17" s="55" t="s">
        <v>335</v>
      </c>
      <c r="B17" s="51" t="s">
        <v>15</v>
      </c>
      <c r="C17" s="49">
        <v>299</v>
      </c>
      <c r="D17" s="51" t="s">
        <v>375</v>
      </c>
      <c r="E17" s="53" t="s">
        <v>13</v>
      </c>
    </row>
    <row r="18" spans="1:5" x14ac:dyDescent="0.3">
      <c r="A18" s="54" t="s">
        <v>330</v>
      </c>
      <c r="B18" s="51" t="s">
        <v>15</v>
      </c>
      <c r="C18" s="56">
        <v>301</v>
      </c>
      <c r="D18" s="51" t="s">
        <v>374</v>
      </c>
      <c r="E18" s="53" t="s">
        <v>13</v>
      </c>
    </row>
    <row r="19" spans="1:5" x14ac:dyDescent="0.3">
      <c r="A19" s="55" t="s">
        <v>336</v>
      </c>
      <c r="B19" s="51" t="s">
        <v>15</v>
      </c>
      <c r="C19" s="56">
        <v>314</v>
      </c>
      <c r="D19" s="51" t="s">
        <v>374</v>
      </c>
      <c r="E19" s="53" t="s">
        <v>13</v>
      </c>
    </row>
    <row r="20" spans="1:5" x14ac:dyDescent="0.3">
      <c r="A20" s="54" t="s">
        <v>337</v>
      </c>
      <c r="B20" s="51"/>
      <c r="C20" s="51"/>
      <c r="D20" s="52" t="s">
        <v>338</v>
      </c>
      <c r="E20" s="53" t="s">
        <v>29</v>
      </c>
    </row>
    <row r="21" spans="1:5" x14ac:dyDescent="0.3">
      <c r="A21" s="55" t="s">
        <v>376</v>
      </c>
      <c r="B21" s="48" t="s">
        <v>377</v>
      </c>
      <c r="C21" s="49">
        <v>933</v>
      </c>
      <c r="D21" s="48" t="s">
        <v>378</v>
      </c>
      <c r="E21" s="53" t="s">
        <v>29</v>
      </c>
    </row>
    <row r="22" spans="1:5" x14ac:dyDescent="0.3">
      <c r="A22" s="54" t="s">
        <v>27</v>
      </c>
      <c r="B22" s="48" t="s">
        <v>19</v>
      </c>
      <c r="C22" s="49">
        <v>238</v>
      </c>
      <c r="D22" s="48" t="s">
        <v>28</v>
      </c>
      <c r="E22" s="53" t="s">
        <v>29</v>
      </c>
    </row>
    <row r="23" spans="1:5" x14ac:dyDescent="0.3">
      <c r="A23" s="54" t="s">
        <v>30</v>
      </c>
      <c r="B23" s="48" t="s">
        <v>31</v>
      </c>
      <c r="C23" s="49">
        <v>661</v>
      </c>
      <c r="D23" s="48" t="s">
        <v>32</v>
      </c>
      <c r="E23" s="53" t="s">
        <v>29</v>
      </c>
    </row>
    <row r="24" spans="1:5" x14ac:dyDescent="0.3">
      <c r="A24" s="54" t="s">
        <v>33</v>
      </c>
      <c r="B24" s="48" t="s">
        <v>31</v>
      </c>
      <c r="C24" s="49">
        <v>677</v>
      </c>
      <c r="D24" s="48" t="s">
        <v>34</v>
      </c>
      <c r="E24" s="53" t="s">
        <v>29</v>
      </c>
    </row>
    <row r="25" spans="1:5" x14ac:dyDescent="0.3">
      <c r="A25" s="1" t="s">
        <v>423</v>
      </c>
    </row>
    <row r="26" spans="1:5" x14ac:dyDescent="0.3">
      <c r="A26" s="1" t="s">
        <v>424</v>
      </c>
    </row>
    <row r="27" spans="1:5" x14ac:dyDescent="0.3">
      <c r="A27" s="1" t="s">
        <v>417</v>
      </c>
    </row>
    <row r="28" spans="1:5" x14ac:dyDescent="0.3">
      <c r="A28" s="1" t="s">
        <v>496</v>
      </c>
    </row>
    <row r="29" spans="1:5" x14ac:dyDescent="0.3">
      <c r="A29" s="1" t="s">
        <v>490</v>
      </c>
    </row>
    <row r="30" spans="1:5" x14ac:dyDescent="0.3">
      <c r="A30" s="1" t="s">
        <v>491</v>
      </c>
    </row>
    <row r="31" spans="1:5" x14ac:dyDescent="0.3">
      <c r="A31" s="1" t="s">
        <v>494</v>
      </c>
    </row>
    <row r="32" spans="1:5" x14ac:dyDescent="0.3">
      <c r="A32" s="1" t="s">
        <v>453</v>
      </c>
    </row>
    <row r="33" spans="1:1" x14ac:dyDescent="0.3">
      <c r="A33" s="1" t="s">
        <v>498</v>
      </c>
    </row>
    <row r="34" spans="1:1" x14ac:dyDescent="0.3">
      <c r="A34" s="1" t="s">
        <v>499</v>
      </c>
    </row>
    <row r="35" spans="1:1" x14ac:dyDescent="0.3">
      <c r="A35" s="1" t="s">
        <v>500</v>
      </c>
    </row>
    <row r="36" spans="1:1" x14ac:dyDescent="0.3">
      <c r="A36" s="1" t="s">
        <v>501</v>
      </c>
    </row>
    <row r="37" spans="1:1" x14ac:dyDescent="0.3">
      <c r="A37" s="1" t="s">
        <v>451</v>
      </c>
    </row>
    <row r="38" spans="1:1" x14ac:dyDescent="0.3">
      <c r="A38" s="1" t="s">
        <v>485</v>
      </c>
    </row>
    <row r="39" spans="1:1" x14ac:dyDescent="0.3">
      <c r="A39" s="1" t="s">
        <v>452</v>
      </c>
    </row>
    <row r="40" spans="1:1" x14ac:dyDescent="0.3">
      <c r="A40" s="1" t="s">
        <v>454</v>
      </c>
    </row>
    <row r="41" spans="1:1" x14ac:dyDescent="0.3">
      <c r="A41" s="1" t="s">
        <v>455</v>
      </c>
    </row>
    <row r="42" spans="1:1" x14ac:dyDescent="0.3">
      <c r="A42" s="1" t="s">
        <v>456</v>
      </c>
    </row>
    <row r="43" spans="1:1" x14ac:dyDescent="0.3">
      <c r="A43" s="1" t="s">
        <v>457</v>
      </c>
    </row>
    <row r="52" ht="20.05" customHeight="1" x14ac:dyDescent="0.3"/>
    <row r="53" ht="20.05" customHeight="1" x14ac:dyDescent="0.3"/>
    <row r="54" ht="20.05" customHeight="1" x14ac:dyDescent="0.3"/>
    <row r="55" ht="20.05" customHeight="1" x14ac:dyDescent="0.3"/>
    <row r="56" ht="20.05" customHeight="1" x14ac:dyDescent="0.3"/>
    <row r="57" ht="20.05" customHeight="1" x14ac:dyDescent="0.3"/>
    <row r="58" ht="20.05" customHeight="1" x14ac:dyDescent="0.3"/>
    <row r="59" ht="20.05" customHeight="1" x14ac:dyDescent="0.3"/>
    <row r="60" ht="20.05" customHeight="1" x14ac:dyDescent="0.3"/>
    <row r="61" ht="20.05" customHeight="1" x14ac:dyDescent="0.3"/>
    <row r="62" ht="20.05" customHeight="1" x14ac:dyDescent="0.3"/>
    <row r="63" ht="20.05" customHeight="1" x14ac:dyDescent="0.3"/>
    <row r="64" ht="20.05" customHeight="1" x14ac:dyDescent="0.3"/>
    <row r="65" ht="20.05" customHeight="1" x14ac:dyDescent="0.3"/>
    <row r="66" ht="20.05" customHeight="1" x14ac:dyDescent="0.3"/>
    <row r="67" ht="20.05" customHeight="1" x14ac:dyDescent="0.3"/>
    <row r="68" ht="20.05" customHeight="1" x14ac:dyDescent="0.3"/>
    <row r="69" ht="20.05" customHeight="1" x14ac:dyDescent="0.3"/>
    <row r="70" ht="20.05" customHeight="1" x14ac:dyDescent="0.3"/>
    <row r="71" ht="20.05" customHeight="1" x14ac:dyDescent="0.3"/>
    <row r="72" ht="20.05" customHeight="1" x14ac:dyDescent="0.3"/>
    <row r="73" ht="20.05" customHeight="1" x14ac:dyDescent="0.3"/>
    <row r="74" ht="20.05" customHeight="1" x14ac:dyDescent="0.3"/>
    <row r="75" ht="20.05" customHeight="1" x14ac:dyDescent="0.3"/>
    <row r="76" ht="20.05" customHeight="1" x14ac:dyDescent="0.3"/>
    <row r="77" ht="20.05" customHeight="1" x14ac:dyDescent="0.3"/>
    <row r="78" ht="20.05" customHeight="1" x14ac:dyDescent="0.3"/>
    <row r="79" ht="20.05" customHeight="1" x14ac:dyDescent="0.3"/>
    <row r="80" ht="20.05" customHeight="1" x14ac:dyDescent="0.3"/>
    <row r="81" ht="20.05" customHeight="1" x14ac:dyDescent="0.3"/>
    <row r="82" ht="20.05" customHeight="1" x14ac:dyDescent="0.3"/>
    <row r="83" ht="20.05" customHeight="1" x14ac:dyDescent="0.3"/>
    <row r="84" ht="20.05" customHeight="1" x14ac:dyDescent="0.3"/>
    <row r="85" ht="20.05" customHeight="1" x14ac:dyDescent="0.3"/>
    <row r="86" ht="20.05" customHeight="1" x14ac:dyDescent="0.3"/>
    <row r="87" ht="20.05" customHeight="1" x14ac:dyDescent="0.3"/>
    <row r="88" ht="20.05" customHeight="1" x14ac:dyDescent="0.3"/>
    <row r="89" ht="20.05" customHeight="1" x14ac:dyDescent="0.3"/>
    <row r="90" ht="20.05" customHeight="1" x14ac:dyDescent="0.3"/>
    <row r="91" ht="20.05" customHeight="1" x14ac:dyDescent="0.3"/>
    <row r="92" ht="20.05" customHeight="1" x14ac:dyDescent="0.3"/>
    <row r="93" ht="20.05" customHeight="1" x14ac:dyDescent="0.3"/>
    <row r="94" ht="20.05" customHeight="1" x14ac:dyDescent="0.3"/>
    <row r="95" ht="20.05" customHeight="1" x14ac:dyDescent="0.3"/>
    <row r="96" ht="20.05" customHeight="1" x14ac:dyDescent="0.3"/>
    <row r="97" ht="20.05" customHeight="1" x14ac:dyDescent="0.3"/>
    <row r="98" ht="20.05" customHeight="1" x14ac:dyDescent="0.3"/>
    <row r="99" ht="20.05" customHeight="1" x14ac:dyDescent="0.3"/>
    <row r="100" ht="20.05" customHeight="1" x14ac:dyDescent="0.3"/>
    <row r="101" ht="20.05" customHeight="1" x14ac:dyDescent="0.3"/>
    <row r="102" ht="20.05" customHeight="1" x14ac:dyDescent="0.3"/>
    <row r="103" ht="20.05" customHeight="1" x14ac:dyDescent="0.3"/>
    <row r="104" ht="20.05" customHeight="1" x14ac:dyDescent="0.3"/>
    <row r="105" ht="20.05" customHeight="1" x14ac:dyDescent="0.3"/>
    <row r="106" ht="20.05" customHeight="1" x14ac:dyDescent="0.3"/>
    <row r="107" ht="20.05" customHeight="1" x14ac:dyDescent="0.3"/>
    <row r="108" ht="20.05" customHeight="1" x14ac:dyDescent="0.3"/>
    <row r="109" ht="20.05" customHeight="1" x14ac:dyDescent="0.3"/>
    <row r="110" ht="20.05" customHeight="1" x14ac:dyDescent="0.3"/>
    <row r="111" ht="20.05" customHeight="1" x14ac:dyDescent="0.3"/>
    <row r="112" ht="20.05" customHeight="1" x14ac:dyDescent="0.3"/>
    <row r="113" ht="20.05" customHeight="1" x14ac:dyDescent="0.3"/>
    <row r="114" ht="20.05" customHeight="1" x14ac:dyDescent="0.3"/>
    <row r="115" ht="20.05" customHeight="1" x14ac:dyDescent="0.3"/>
    <row r="116" ht="20.05" customHeight="1" x14ac:dyDescent="0.3"/>
    <row r="117" ht="20.05" customHeight="1" x14ac:dyDescent="0.3"/>
    <row r="118" ht="20.05" customHeight="1" x14ac:dyDescent="0.3"/>
    <row r="119" ht="20.05" customHeight="1" x14ac:dyDescent="0.3"/>
    <row r="120" ht="20.05" customHeight="1" x14ac:dyDescent="0.3"/>
    <row r="121" ht="20.05" customHeight="1" x14ac:dyDescent="0.3"/>
    <row r="122" ht="20.05" customHeight="1" x14ac:dyDescent="0.3"/>
    <row r="123" ht="20.05" customHeight="1" x14ac:dyDescent="0.3"/>
    <row r="124" ht="20.05" customHeight="1" x14ac:dyDescent="0.3"/>
    <row r="125" ht="20.05" customHeight="1" x14ac:dyDescent="0.3"/>
    <row r="126" ht="20.05" customHeight="1" x14ac:dyDescent="0.3"/>
    <row r="127" ht="20.05" customHeight="1" x14ac:dyDescent="0.3"/>
    <row r="128" ht="20.05" customHeight="1" x14ac:dyDescent="0.3"/>
    <row r="129" ht="20.05" customHeight="1" x14ac:dyDescent="0.3"/>
    <row r="130" ht="20.05" customHeight="1" x14ac:dyDescent="0.3"/>
    <row r="131" ht="20.05" customHeight="1" x14ac:dyDescent="0.3"/>
    <row r="132" ht="20.05" customHeight="1" x14ac:dyDescent="0.3"/>
    <row r="133" ht="20.05" customHeight="1" x14ac:dyDescent="0.3"/>
    <row r="134" ht="20.05" customHeight="1" x14ac:dyDescent="0.3"/>
    <row r="135" ht="20.05" customHeight="1" x14ac:dyDescent="0.3"/>
    <row r="136" ht="20.05" customHeight="1" x14ac:dyDescent="0.3"/>
    <row r="137" ht="20.05" customHeight="1" x14ac:dyDescent="0.3"/>
    <row r="138" ht="20.05" customHeight="1" x14ac:dyDescent="0.3"/>
    <row r="139" ht="20.05" customHeight="1" x14ac:dyDescent="0.3"/>
    <row r="140" ht="20.05" customHeight="1" x14ac:dyDescent="0.3"/>
    <row r="141" ht="20.05" customHeight="1" x14ac:dyDescent="0.3"/>
    <row r="142" ht="20.05" customHeight="1" x14ac:dyDescent="0.3"/>
    <row r="143" ht="20.05" customHeight="1" x14ac:dyDescent="0.3"/>
    <row r="144" ht="20.05" customHeight="1" x14ac:dyDescent="0.3"/>
    <row r="145" ht="20.05" customHeight="1" x14ac:dyDescent="0.3"/>
    <row r="146" ht="20.05" customHeight="1" x14ac:dyDescent="0.3"/>
    <row r="147" ht="20.05" customHeight="1" x14ac:dyDescent="0.3"/>
    <row r="148" ht="20.05" customHeight="1" x14ac:dyDescent="0.3"/>
    <row r="149" ht="20.05" customHeight="1" x14ac:dyDescent="0.3"/>
    <row r="150" ht="20.05" customHeight="1" x14ac:dyDescent="0.3"/>
    <row r="151" ht="20.05" customHeight="1" x14ac:dyDescent="0.3"/>
    <row r="152" ht="20.05" customHeight="1" x14ac:dyDescent="0.3"/>
    <row r="153" ht="20.05" customHeight="1" x14ac:dyDescent="0.3"/>
    <row r="154" ht="20.05" customHeight="1" x14ac:dyDescent="0.3"/>
    <row r="155" ht="20.05" customHeight="1" x14ac:dyDescent="0.3"/>
    <row r="156" ht="20.05" customHeight="1" x14ac:dyDescent="0.3"/>
    <row r="157" ht="20.05" customHeight="1" x14ac:dyDescent="0.3"/>
    <row r="158" ht="20.05" customHeight="1" x14ac:dyDescent="0.3"/>
    <row r="159" ht="20.05" customHeight="1" x14ac:dyDescent="0.3"/>
    <row r="160" ht="20.05" customHeight="1" x14ac:dyDescent="0.3"/>
    <row r="161" ht="20.05" customHeight="1" x14ac:dyDescent="0.3"/>
    <row r="162" ht="20.05" customHeight="1" x14ac:dyDescent="0.3"/>
    <row r="163" ht="20.05" customHeight="1" x14ac:dyDescent="0.3"/>
    <row r="164" ht="20.05" customHeight="1" x14ac:dyDescent="0.3"/>
    <row r="165" ht="20.05" customHeight="1" x14ac:dyDescent="0.3"/>
    <row r="166" ht="20.05" customHeight="1" x14ac:dyDescent="0.3"/>
    <row r="167" ht="20.05" customHeight="1" x14ac:dyDescent="0.3"/>
    <row r="168" ht="20.05" customHeight="1" x14ac:dyDescent="0.3"/>
    <row r="169" ht="20.05" customHeight="1" x14ac:dyDescent="0.3"/>
    <row r="170" ht="20.05" customHeight="1" x14ac:dyDescent="0.3"/>
    <row r="171" ht="20.05" customHeight="1" x14ac:dyDescent="0.3"/>
    <row r="172" ht="20.05" customHeight="1" x14ac:dyDescent="0.3"/>
    <row r="173" ht="20.05" customHeight="1" x14ac:dyDescent="0.3"/>
    <row r="174" ht="20.05" customHeight="1" x14ac:dyDescent="0.3"/>
    <row r="175" ht="20.05" customHeight="1" x14ac:dyDescent="0.3"/>
    <row r="176" ht="20.05" customHeight="1" x14ac:dyDescent="0.3"/>
    <row r="177" ht="20.05" customHeight="1" x14ac:dyDescent="0.3"/>
    <row r="178" ht="20.05" customHeight="1" x14ac:dyDescent="0.3"/>
    <row r="179" ht="20.05" customHeight="1" x14ac:dyDescent="0.3"/>
    <row r="180" ht="20.05" customHeight="1" x14ac:dyDescent="0.3"/>
    <row r="181" ht="20.05" customHeight="1" x14ac:dyDescent="0.3"/>
    <row r="182" ht="20.05" customHeight="1" x14ac:dyDescent="0.3"/>
    <row r="183" ht="20.05" customHeight="1" x14ac:dyDescent="0.3"/>
    <row r="184" ht="20.05" customHeight="1" x14ac:dyDescent="0.3"/>
    <row r="185" ht="20.05" customHeight="1" x14ac:dyDescent="0.3"/>
    <row r="186" ht="20.05" customHeight="1" x14ac:dyDescent="0.3"/>
    <row r="187" ht="20.05" customHeight="1" x14ac:dyDescent="0.3"/>
    <row r="188" ht="20.05" customHeight="1" x14ac:dyDescent="0.3"/>
    <row r="189" ht="20.05" customHeight="1" x14ac:dyDescent="0.3"/>
    <row r="190" ht="20.05" customHeight="1" x14ac:dyDescent="0.3"/>
    <row r="191" ht="20.05" customHeight="1" x14ac:dyDescent="0.3"/>
    <row r="192" ht="20.05" customHeight="1" x14ac:dyDescent="0.3"/>
    <row r="193" ht="20.05" customHeight="1" x14ac:dyDescent="0.3"/>
    <row r="194" ht="20.05" customHeight="1" x14ac:dyDescent="0.3"/>
    <row r="195" ht="20.05" customHeight="1" x14ac:dyDescent="0.3"/>
    <row r="196" ht="20.05" customHeight="1" x14ac:dyDescent="0.3"/>
    <row r="197" ht="20.05" customHeight="1" x14ac:dyDescent="0.3"/>
    <row r="198" ht="20.05" customHeight="1" x14ac:dyDescent="0.3"/>
    <row r="199" ht="20.05" customHeight="1" x14ac:dyDescent="0.3"/>
    <row r="200" ht="20.05" customHeight="1" x14ac:dyDescent="0.3"/>
    <row r="201" ht="20.05" customHeight="1" x14ac:dyDescent="0.3"/>
    <row r="202" ht="20.05" customHeight="1" x14ac:dyDescent="0.3"/>
    <row r="203" ht="20.05" customHeight="1" x14ac:dyDescent="0.3"/>
    <row r="204" ht="20.05" customHeight="1" x14ac:dyDescent="0.3"/>
    <row r="205" ht="20.05" customHeight="1" x14ac:dyDescent="0.3"/>
    <row r="206" ht="20.05" customHeight="1" x14ac:dyDescent="0.3"/>
    <row r="207" ht="20.05" customHeight="1" x14ac:dyDescent="0.3"/>
    <row r="208" ht="20.05" customHeight="1" x14ac:dyDescent="0.3"/>
    <row r="209" ht="20.05" customHeight="1" x14ac:dyDescent="0.3"/>
    <row r="210" ht="20.05" customHeight="1" x14ac:dyDescent="0.3"/>
    <row r="211" ht="20.05" customHeight="1" x14ac:dyDescent="0.3"/>
    <row r="212" ht="20.05" customHeight="1" x14ac:dyDescent="0.3"/>
    <row r="213" ht="20.05" customHeight="1" x14ac:dyDescent="0.3"/>
    <row r="214" ht="20.05" customHeight="1" x14ac:dyDescent="0.3"/>
    <row r="215" ht="20.05" customHeight="1" x14ac:dyDescent="0.3"/>
    <row r="216" ht="20.05" customHeight="1" x14ac:dyDescent="0.3"/>
    <row r="217" ht="20.05" customHeight="1" x14ac:dyDescent="0.3"/>
    <row r="218" ht="20.05" customHeight="1" x14ac:dyDescent="0.3"/>
    <row r="219" ht="20.05" customHeight="1" x14ac:dyDescent="0.3"/>
    <row r="220" ht="20.05" customHeight="1" x14ac:dyDescent="0.3"/>
    <row r="221" ht="20.05" customHeight="1" x14ac:dyDescent="0.3"/>
    <row r="222" ht="20.05" customHeight="1" x14ac:dyDescent="0.3"/>
    <row r="223" ht="20.05" customHeight="1" x14ac:dyDescent="0.3"/>
    <row r="224" ht="20.05" customHeight="1" x14ac:dyDescent="0.3"/>
    <row r="225" ht="20.05" customHeight="1" x14ac:dyDescent="0.3"/>
    <row r="226" ht="20.05" customHeight="1" x14ac:dyDescent="0.3"/>
    <row r="227" ht="20.05" customHeight="1" x14ac:dyDescent="0.3"/>
    <row r="228" ht="20.05" customHeight="1" x14ac:dyDescent="0.3"/>
    <row r="229" ht="20.05" customHeight="1" x14ac:dyDescent="0.3"/>
    <row r="230" ht="20.05" customHeight="1" x14ac:dyDescent="0.3"/>
    <row r="231" ht="20.05" customHeight="1" x14ac:dyDescent="0.3"/>
    <row r="232" ht="20.05" customHeight="1" x14ac:dyDescent="0.3"/>
    <row r="233" ht="20.05" customHeight="1" x14ac:dyDescent="0.3"/>
    <row r="234" ht="20.05" customHeight="1" x14ac:dyDescent="0.3"/>
    <row r="235" ht="20.05" customHeight="1" x14ac:dyDescent="0.3"/>
    <row r="236" ht="20.05" customHeight="1" x14ac:dyDescent="0.3"/>
    <row r="237" ht="20.05" customHeight="1" x14ac:dyDescent="0.3"/>
    <row r="238" ht="20.05" customHeight="1" x14ac:dyDescent="0.3"/>
    <row r="239" ht="20.05" customHeight="1" x14ac:dyDescent="0.3"/>
    <row r="240" ht="20.05" customHeight="1" x14ac:dyDescent="0.3"/>
    <row r="241" ht="20.05" customHeight="1" x14ac:dyDescent="0.3"/>
    <row r="242" ht="20.05" customHeight="1" x14ac:dyDescent="0.3"/>
    <row r="243" ht="20.05" customHeight="1" x14ac:dyDescent="0.3"/>
    <row r="244" ht="20.05" customHeight="1" x14ac:dyDescent="0.3"/>
    <row r="245" ht="20.05" customHeight="1" x14ac:dyDescent="0.3"/>
    <row r="246" ht="20.05" customHeight="1" x14ac:dyDescent="0.3"/>
    <row r="247" ht="20.05" customHeight="1" x14ac:dyDescent="0.3"/>
    <row r="248" ht="20.05" customHeight="1" x14ac:dyDescent="0.3"/>
    <row r="249" ht="20.05" customHeight="1" x14ac:dyDescent="0.3"/>
    <row r="250" ht="20.05" customHeight="1" x14ac:dyDescent="0.3"/>
    <row r="251" ht="20.05" customHeight="1" x14ac:dyDescent="0.3"/>
    <row r="252" ht="20.05" customHeight="1" x14ac:dyDescent="0.3"/>
    <row r="253" ht="20.05" customHeight="1" x14ac:dyDescent="0.3"/>
    <row r="254" ht="20.05" customHeight="1" x14ac:dyDescent="0.3"/>
    <row r="255" ht="20.05" customHeight="1" x14ac:dyDescent="0.3"/>
    <row r="256" ht="20.05" customHeight="1" x14ac:dyDescent="0.3"/>
    <row r="257" ht="20.05" customHeight="1" x14ac:dyDescent="0.3"/>
    <row r="258" ht="20.05" customHeight="1" x14ac:dyDescent="0.3"/>
    <row r="259" ht="20.05" customHeight="1" x14ac:dyDescent="0.3"/>
    <row r="260" ht="20.05" customHeight="1" x14ac:dyDescent="0.3"/>
    <row r="261" ht="20.05" customHeight="1" x14ac:dyDescent="0.3"/>
    <row r="262" ht="20.05" customHeight="1" x14ac:dyDescent="0.3"/>
    <row r="263" ht="20.05" customHeight="1" x14ac:dyDescent="0.3"/>
    <row r="264" ht="20.05" customHeight="1" x14ac:dyDescent="0.3"/>
    <row r="265" ht="20.05" customHeight="1" x14ac:dyDescent="0.3"/>
    <row r="266" ht="20.05" customHeight="1" x14ac:dyDescent="0.3"/>
    <row r="267" ht="20.05" customHeight="1" x14ac:dyDescent="0.3"/>
    <row r="268" ht="20.05" customHeight="1" x14ac:dyDescent="0.3"/>
    <row r="269" ht="20.05" customHeight="1" x14ac:dyDescent="0.3"/>
    <row r="270" ht="20.05" customHeight="1" x14ac:dyDescent="0.3"/>
    <row r="271" ht="20.05" customHeight="1" x14ac:dyDescent="0.3"/>
    <row r="272" ht="20.05" customHeight="1" x14ac:dyDescent="0.3"/>
    <row r="273" ht="20.05" customHeight="1" x14ac:dyDescent="0.3"/>
    <row r="274" ht="20.05" customHeight="1" x14ac:dyDescent="0.3"/>
    <row r="275" ht="20.05" customHeight="1" x14ac:dyDescent="0.3"/>
    <row r="276" ht="20.05" customHeight="1" x14ac:dyDescent="0.3"/>
    <row r="277" ht="20.05" customHeight="1" x14ac:dyDescent="0.3"/>
    <row r="278" ht="20.05" customHeight="1" x14ac:dyDescent="0.3"/>
    <row r="279" ht="20.05" customHeight="1" x14ac:dyDescent="0.3"/>
    <row r="280" ht="20.05" customHeight="1" x14ac:dyDescent="0.3"/>
    <row r="281" ht="20.05" customHeight="1" x14ac:dyDescent="0.3"/>
    <row r="282" ht="20.05" customHeight="1" x14ac:dyDescent="0.3"/>
    <row r="283" ht="20.05" customHeight="1" x14ac:dyDescent="0.3"/>
    <row r="284" ht="20.05" customHeight="1" x14ac:dyDescent="0.3"/>
    <row r="285" ht="20.05" customHeight="1" x14ac:dyDescent="0.3"/>
    <row r="286" ht="20.05" customHeight="1" x14ac:dyDescent="0.3"/>
    <row r="287" ht="20.05" customHeight="1" x14ac:dyDescent="0.3"/>
    <row r="288" ht="20.05" customHeight="1" x14ac:dyDescent="0.3"/>
    <row r="289" ht="20.05" customHeight="1" x14ac:dyDescent="0.3"/>
    <row r="290" ht="20.05" customHeight="1" x14ac:dyDescent="0.3"/>
    <row r="291" ht="20.05" customHeight="1" x14ac:dyDescent="0.3"/>
    <row r="292" ht="20.05" customHeight="1" x14ac:dyDescent="0.3"/>
    <row r="293" ht="20.05" customHeight="1" x14ac:dyDescent="0.3"/>
    <row r="294" ht="20.05" customHeight="1" x14ac:dyDescent="0.3"/>
    <row r="295" ht="20.05" customHeight="1" x14ac:dyDescent="0.3"/>
    <row r="296" ht="20.05" customHeight="1" x14ac:dyDescent="0.3"/>
    <row r="297" ht="20.05" customHeight="1" x14ac:dyDescent="0.3"/>
    <row r="298" ht="20.05" customHeight="1" x14ac:dyDescent="0.3"/>
    <row r="299" ht="20.05" customHeight="1" x14ac:dyDescent="0.3"/>
    <row r="300" ht="20.05" customHeight="1" x14ac:dyDescent="0.3"/>
    <row r="301" ht="20.05" customHeight="1" x14ac:dyDescent="0.3"/>
    <row r="302" ht="20.05" customHeight="1" x14ac:dyDescent="0.3"/>
    <row r="303" ht="20.05" customHeight="1" x14ac:dyDescent="0.3"/>
    <row r="304" ht="20.05" customHeight="1" x14ac:dyDescent="0.3"/>
    <row r="305" ht="20.05" customHeight="1" x14ac:dyDescent="0.3"/>
    <row r="306" ht="20.05" customHeight="1" x14ac:dyDescent="0.3"/>
    <row r="307" ht="20.05" customHeight="1" x14ac:dyDescent="0.3"/>
    <row r="308" ht="20.05" customHeight="1" x14ac:dyDescent="0.3"/>
    <row r="309" ht="20.05" customHeight="1" x14ac:dyDescent="0.3"/>
    <row r="310" ht="20.05" customHeight="1" x14ac:dyDescent="0.3"/>
    <row r="311" ht="20.05" customHeight="1" x14ac:dyDescent="0.3"/>
    <row r="312" ht="20.05" customHeight="1" x14ac:dyDescent="0.3"/>
    <row r="313" ht="20.05" customHeight="1" x14ac:dyDescent="0.3"/>
    <row r="314" ht="20.05" customHeight="1" x14ac:dyDescent="0.3"/>
    <row r="315" ht="20.05" customHeight="1" x14ac:dyDescent="0.3"/>
    <row r="316" ht="20.05" customHeight="1" x14ac:dyDescent="0.3"/>
    <row r="317" ht="20.05" customHeight="1" x14ac:dyDescent="0.3"/>
    <row r="318" ht="20.05" customHeight="1" x14ac:dyDescent="0.3"/>
    <row r="319" ht="20.05" customHeight="1" x14ac:dyDescent="0.3"/>
    <row r="320" ht="20.05" customHeight="1" x14ac:dyDescent="0.3"/>
    <row r="321" ht="20.05" customHeight="1" x14ac:dyDescent="0.3"/>
    <row r="322" ht="20.05" customHeight="1" x14ac:dyDescent="0.3"/>
    <row r="323" ht="20.05" customHeight="1" x14ac:dyDescent="0.3"/>
    <row r="324" ht="20.05" customHeight="1" x14ac:dyDescent="0.3"/>
    <row r="325" ht="20.05" customHeight="1" x14ac:dyDescent="0.3"/>
    <row r="326" ht="20.05" customHeight="1" x14ac:dyDescent="0.3"/>
    <row r="327" ht="20.05" customHeight="1" x14ac:dyDescent="0.3"/>
    <row r="328" ht="20.05" customHeight="1" x14ac:dyDescent="0.3"/>
    <row r="329" ht="20.05" customHeight="1" x14ac:dyDescent="0.3"/>
    <row r="330" ht="20.05" customHeight="1" x14ac:dyDescent="0.3"/>
    <row r="331" ht="20.05" customHeight="1" x14ac:dyDescent="0.3"/>
    <row r="332" ht="20.05" customHeight="1" x14ac:dyDescent="0.3"/>
    <row r="333" ht="20.05" customHeight="1" x14ac:dyDescent="0.3"/>
    <row r="334" ht="20.05" customHeight="1" x14ac:dyDescent="0.3"/>
    <row r="335" ht="20.05" customHeight="1" x14ac:dyDescent="0.3"/>
    <row r="336" ht="20.05" customHeight="1" x14ac:dyDescent="0.3"/>
    <row r="337" ht="20.05" customHeight="1" x14ac:dyDescent="0.3"/>
    <row r="338" ht="20.05" customHeight="1" x14ac:dyDescent="0.3"/>
    <row r="339" ht="20.05" customHeight="1" x14ac:dyDescent="0.3"/>
    <row r="340" ht="20.05" customHeight="1" x14ac:dyDescent="0.3"/>
    <row r="341" ht="20.05" customHeight="1" x14ac:dyDescent="0.3"/>
    <row r="342" ht="20.05" customHeight="1" x14ac:dyDescent="0.3"/>
    <row r="343" ht="20.05" customHeight="1" x14ac:dyDescent="0.3"/>
    <row r="344" ht="20.05" customHeight="1" x14ac:dyDescent="0.3"/>
    <row r="345" ht="20.05" customHeight="1" x14ac:dyDescent="0.3"/>
    <row r="346" ht="20.05" customHeight="1" x14ac:dyDescent="0.3"/>
    <row r="347" ht="20.05" customHeight="1" x14ac:dyDescent="0.3"/>
    <row r="348" ht="20.05" customHeight="1" x14ac:dyDescent="0.3"/>
    <row r="349" ht="20.05" customHeight="1" x14ac:dyDescent="0.3"/>
    <row r="350" ht="20.05" customHeight="1" x14ac:dyDescent="0.3"/>
    <row r="351" ht="20.05" customHeight="1" x14ac:dyDescent="0.3"/>
    <row r="352" ht="20.05" customHeight="1" x14ac:dyDescent="0.3"/>
    <row r="353" ht="20.05" customHeight="1" x14ac:dyDescent="0.3"/>
    <row r="354" ht="20.05" customHeight="1" x14ac:dyDescent="0.3"/>
    <row r="355" ht="20.05" customHeight="1" x14ac:dyDescent="0.3"/>
    <row r="356" ht="20.05" customHeight="1" x14ac:dyDescent="0.3"/>
    <row r="357" ht="20.05" customHeight="1" x14ac:dyDescent="0.3"/>
    <row r="358" ht="20.05" customHeight="1" x14ac:dyDescent="0.3"/>
    <row r="359" ht="20.05" customHeight="1" x14ac:dyDescent="0.3"/>
    <row r="360" ht="20.05" customHeight="1" x14ac:dyDescent="0.3"/>
    <row r="361" ht="20.05" customHeight="1" x14ac:dyDescent="0.3"/>
    <row r="362" ht="20.05" customHeight="1" x14ac:dyDescent="0.3"/>
    <row r="363" ht="20.05" customHeight="1" x14ac:dyDescent="0.3"/>
    <row r="364" ht="20.05" customHeight="1" x14ac:dyDescent="0.3"/>
    <row r="365" ht="20.05" customHeight="1" x14ac:dyDescent="0.3"/>
    <row r="366" ht="20.05" customHeight="1" x14ac:dyDescent="0.3"/>
    <row r="367" ht="20.05" customHeight="1" x14ac:dyDescent="0.3"/>
    <row r="368" ht="20.05" customHeight="1" x14ac:dyDescent="0.3"/>
    <row r="369" ht="20.05" customHeight="1" x14ac:dyDescent="0.3"/>
    <row r="370" ht="20.05" customHeight="1" x14ac:dyDescent="0.3"/>
    <row r="371" ht="20.05" customHeight="1" x14ac:dyDescent="0.3"/>
    <row r="372" ht="20.05" customHeight="1" x14ac:dyDescent="0.3"/>
    <row r="373" ht="20.05" customHeight="1" x14ac:dyDescent="0.3"/>
    <row r="374" ht="20.05" customHeight="1" x14ac:dyDescent="0.3"/>
    <row r="375" ht="20.05" customHeight="1" x14ac:dyDescent="0.3"/>
    <row r="376" ht="20.05" customHeight="1" x14ac:dyDescent="0.3"/>
    <row r="377" ht="20.05" customHeight="1" x14ac:dyDescent="0.3"/>
    <row r="378" ht="20.05" customHeight="1" x14ac:dyDescent="0.3"/>
    <row r="379" ht="20.05" customHeight="1" x14ac:dyDescent="0.3"/>
    <row r="380" ht="20.05" customHeight="1" x14ac:dyDescent="0.3"/>
    <row r="381" ht="20.05" customHeight="1" x14ac:dyDescent="0.3"/>
    <row r="382" ht="20.05" customHeight="1" x14ac:dyDescent="0.3"/>
    <row r="383" ht="20.05" customHeight="1" x14ac:dyDescent="0.3"/>
    <row r="384" ht="20.05" customHeight="1" x14ac:dyDescent="0.3"/>
    <row r="385" ht="20.05" customHeight="1" x14ac:dyDescent="0.3"/>
    <row r="386" ht="20.05" customHeight="1" x14ac:dyDescent="0.3"/>
    <row r="387" ht="20.05" customHeight="1" x14ac:dyDescent="0.3"/>
    <row r="388" ht="20.05" customHeight="1" x14ac:dyDescent="0.3"/>
    <row r="389" ht="20.05" customHeight="1" x14ac:dyDescent="0.3"/>
    <row r="390" ht="20.05" customHeight="1" x14ac:dyDescent="0.3"/>
    <row r="391" ht="20.05" customHeight="1" x14ac:dyDescent="0.3"/>
    <row r="392" ht="20.05" customHeight="1" x14ac:dyDescent="0.3"/>
    <row r="393" ht="20.05" customHeight="1" x14ac:dyDescent="0.3"/>
    <row r="394" ht="20.05" customHeight="1" x14ac:dyDescent="0.3"/>
    <row r="395" ht="20.05" customHeight="1" x14ac:dyDescent="0.3"/>
    <row r="396" ht="20.05" customHeight="1" x14ac:dyDescent="0.3"/>
    <row r="397" ht="20.05" customHeight="1" x14ac:dyDescent="0.3"/>
    <row r="398" ht="20.05" customHeight="1" x14ac:dyDescent="0.3"/>
    <row r="399" ht="20.05" customHeight="1" x14ac:dyDescent="0.3"/>
    <row r="400" ht="20.05" customHeight="1" x14ac:dyDescent="0.3"/>
    <row r="401" ht="20.05" customHeight="1" x14ac:dyDescent="0.3"/>
    <row r="402" ht="20.05" customHeight="1" x14ac:dyDescent="0.3"/>
    <row r="403" ht="20.05" customHeight="1" x14ac:dyDescent="0.3"/>
    <row r="404" ht="20.05" customHeight="1" x14ac:dyDescent="0.3"/>
    <row r="405" ht="20.05" customHeight="1" x14ac:dyDescent="0.3"/>
    <row r="406" ht="20.05" customHeight="1" x14ac:dyDescent="0.3"/>
    <row r="407" ht="20.05" customHeight="1" x14ac:dyDescent="0.3"/>
    <row r="408" ht="20.05" customHeight="1" x14ac:dyDescent="0.3"/>
    <row r="409" ht="20.05" customHeight="1" x14ac:dyDescent="0.3"/>
    <row r="410" ht="20.05" customHeight="1" x14ac:dyDescent="0.3"/>
    <row r="411" ht="20.05" customHeight="1" x14ac:dyDescent="0.3"/>
    <row r="412" ht="20.05" customHeight="1" x14ac:dyDescent="0.3"/>
    <row r="413" ht="20.05" customHeight="1" x14ac:dyDescent="0.3"/>
    <row r="414" ht="20.05" customHeight="1" x14ac:dyDescent="0.3"/>
    <row r="415" ht="20.05" customHeight="1" x14ac:dyDescent="0.3"/>
    <row r="416" ht="20.05" customHeight="1" x14ac:dyDescent="0.3"/>
    <row r="417" ht="20.05" customHeight="1" x14ac:dyDescent="0.3"/>
    <row r="418" ht="20.05" customHeight="1" x14ac:dyDescent="0.3"/>
    <row r="419" ht="20.05" customHeight="1" x14ac:dyDescent="0.3"/>
    <row r="420" ht="20.05" customHeight="1" x14ac:dyDescent="0.3"/>
    <row r="421" ht="20.05" customHeight="1" x14ac:dyDescent="0.3"/>
    <row r="422" ht="20.05" customHeight="1" x14ac:dyDescent="0.3"/>
    <row r="423" ht="20.05" customHeight="1" x14ac:dyDescent="0.3"/>
    <row r="424" ht="20.05" customHeight="1" x14ac:dyDescent="0.3"/>
    <row r="425" ht="20.05" customHeight="1" x14ac:dyDescent="0.3"/>
    <row r="426" ht="20.05" customHeight="1" x14ac:dyDescent="0.3"/>
    <row r="427" ht="20.05" customHeight="1" x14ac:dyDescent="0.3"/>
    <row r="428" ht="20.05" customHeight="1" x14ac:dyDescent="0.3"/>
    <row r="429" ht="20.05" customHeight="1" x14ac:dyDescent="0.3"/>
    <row r="430" ht="20.05" customHeight="1" x14ac:dyDescent="0.3"/>
    <row r="431" ht="20.05" customHeight="1" x14ac:dyDescent="0.3"/>
    <row r="432" ht="20.05" customHeight="1" x14ac:dyDescent="0.3"/>
    <row r="433" ht="20.05" customHeight="1" x14ac:dyDescent="0.3"/>
    <row r="434" ht="20.05" customHeight="1" x14ac:dyDescent="0.3"/>
    <row r="435" ht="20.05" customHeight="1" x14ac:dyDescent="0.3"/>
    <row r="436" ht="20.05" customHeight="1" x14ac:dyDescent="0.3"/>
    <row r="437" ht="20.05" customHeight="1" x14ac:dyDescent="0.3"/>
    <row r="438" ht="20.05" customHeight="1" x14ac:dyDescent="0.3"/>
    <row r="439" ht="20.05" customHeight="1" x14ac:dyDescent="0.3"/>
    <row r="440" ht="20.05" customHeight="1" x14ac:dyDescent="0.3"/>
    <row r="441" ht="20.05" customHeight="1" x14ac:dyDescent="0.3"/>
    <row r="442" ht="20.05" customHeight="1" x14ac:dyDescent="0.3"/>
    <row r="443" ht="20.05" customHeight="1" x14ac:dyDescent="0.3"/>
    <row r="444" ht="20.05" customHeight="1" x14ac:dyDescent="0.3"/>
    <row r="445" ht="20.05" customHeight="1" x14ac:dyDescent="0.3"/>
    <row r="446" ht="20.05" customHeight="1" x14ac:dyDescent="0.3"/>
    <row r="447" ht="20.05" customHeight="1" x14ac:dyDescent="0.3"/>
    <row r="448" ht="20.05" customHeight="1" x14ac:dyDescent="0.3"/>
    <row r="449" ht="20.05" customHeight="1" x14ac:dyDescent="0.3"/>
    <row r="450" ht="20.05" customHeight="1" x14ac:dyDescent="0.3"/>
    <row r="451" ht="20.05" customHeight="1" x14ac:dyDescent="0.3"/>
    <row r="452" ht="20.05" customHeight="1" x14ac:dyDescent="0.3"/>
    <row r="453" ht="20.05" customHeight="1" x14ac:dyDescent="0.3"/>
    <row r="454" ht="20.05" customHeight="1" x14ac:dyDescent="0.3"/>
    <row r="455" ht="20.05" customHeight="1" x14ac:dyDescent="0.3"/>
    <row r="456" ht="20.05" customHeight="1" x14ac:dyDescent="0.3"/>
    <row r="457" ht="20.05" customHeight="1" x14ac:dyDescent="0.3"/>
    <row r="458" ht="20.05" customHeight="1" x14ac:dyDescent="0.3"/>
    <row r="459" ht="20.05" customHeight="1" x14ac:dyDescent="0.3"/>
    <row r="460" ht="20.05" customHeight="1" x14ac:dyDescent="0.3"/>
    <row r="461" ht="20.05" customHeight="1" x14ac:dyDescent="0.3"/>
    <row r="462" ht="20.05" customHeight="1" x14ac:dyDescent="0.3"/>
    <row r="463" ht="20.05" customHeight="1" x14ac:dyDescent="0.3"/>
    <row r="464" ht="20.05" customHeight="1" x14ac:dyDescent="0.3"/>
    <row r="465" ht="20.05" customHeight="1" x14ac:dyDescent="0.3"/>
    <row r="466" ht="20.05" customHeight="1" x14ac:dyDescent="0.3"/>
    <row r="467" ht="20.05" customHeight="1" x14ac:dyDescent="0.3"/>
    <row r="468" ht="20.05" customHeight="1" x14ac:dyDescent="0.3"/>
    <row r="469" ht="20.05" customHeight="1" x14ac:dyDescent="0.3"/>
    <row r="470" ht="20.05" customHeight="1" x14ac:dyDescent="0.3"/>
    <row r="471" ht="20.05" customHeight="1" x14ac:dyDescent="0.3"/>
    <row r="472" ht="20.05" customHeight="1" x14ac:dyDescent="0.3"/>
    <row r="473" ht="20.05" customHeight="1" x14ac:dyDescent="0.3"/>
    <row r="474" ht="20.05" customHeight="1" x14ac:dyDescent="0.3"/>
    <row r="475" ht="20.05" customHeight="1" x14ac:dyDescent="0.3"/>
    <row r="476" ht="20.05" customHeight="1" x14ac:dyDescent="0.3"/>
    <row r="477" ht="20.05" customHeight="1" x14ac:dyDescent="0.3"/>
    <row r="478" ht="20.05" customHeight="1" x14ac:dyDescent="0.3"/>
    <row r="479" ht="20.05" customHeight="1" x14ac:dyDescent="0.3"/>
    <row r="480" ht="20.05" customHeight="1" x14ac:dyDescent="0.3"/>
    <row r="481" ht="20.05" customHeight="1" x14ac:dyDescent="0.3"/>
    <row r="482" ht="20.05" customHeight="1" x14ac:dyDescent="0.3"/>
    <row r="483" ht="20.05" customHeight="1" x14ac:dyDescent="0.3"/>
    <row r="484" ht="20.05" customHeight="1" x14ac:dyDescent="0.3"/>
    <row r="485" ht="20.05" customHeight="1" x14ac:dyDescent="0.3"/>
    <row r="486" ht="20.05" customHeight="1" x14ac:dyDescent="0.3"/>
    <row r="487" ht="20.05" customHeight="1" x14ac:dyDescent="0.3"/>
    <row r="488" ht="20.05" customHeight="1" x14ac:dyDescent="0.3"/>
    <row r="489" ht="20.05" customHeight="1" x14ac:dyDescent="0.3"/>
    <row r="490" ht="20.05" customHeight="1" x14ac:dyDescent="0.3"/>
    <row r="491" ht="20.05" customHeight="1" x14ac:dyDescent="0.3"/>
    <row r="492" ht="20.05" customHeight="1" x14ac:dyDescent="0.3"/>
    <row r="493" ht="20.05" customHeight="1" x14ac:dyDescent="0.3"/>
    <row r="494" ht="20.05" customHeight="1" x14ac:dyDescent="0.3"/>
    <row r="495" ht="20.05" customHeight="1" x14ac:dyDescent="0.3"/>
    <row r="496" ht="20.05" customHeight="1" x14ac:dyDescent="0.3"/>
    <row r="497" ht="20.05" customHeight="1" x14ac:dyDescent="0.3"/>
    <row r="498" ht="20.05" customHeight="1" x14ac:dyDescent="0.3"/>
    <row r="499" ht="20.05" customHeight="1" x14ac:dyDescent="0.3"/>
    <row r="500" ht="20.05" customHeight="1" x14ac:dyDescent="0.3"/>
    <row r="501" ht="20.05" customHeight="1" x14ac:dyDescent="0.3"/>
    <row r="502" ht="20.05" customHeight="1" x14ac:dyDescent="0.3"/>
    <row r="503" ht="20.05" customHeight="1" x14ac:dyDescent="0.3"/>
    <row r="504" ht="20.05" customHeight="1" x14ac:dyDescent="0.3"/>
    <row r="505" ht="20.05" customHeight="1" x14ac:dyDescent="0.3"/>
    <row r="506" ht="20.05" customHeight="1" x14ac:dyDescent="0.3"/>
    <row r="507" ht="20.05" customHeight="1" x14ac:dyDescent="0.3"/>
    <row r="508" ht="20.05" customHeight="1" x14ac:dyDescent="0.3"/>
    <row r="509" ht="20.05" customHeight="1" x14ac:dyDescent="0.3"/>
    <row r="510" ht="20.05" customHeight="1" x14ac:dyDescent="0.3"/>
    <row r="511" ht="20.05" customHeight="1" x14ac:dyDescent="0.3"/>
    <row r="512" ht="20.05" customHeight="1" x14ac:dyDescent="0.3"/>
    <row r="513" ht="20.05" customHeight="1" x14ac:dyDescent="0.3"/>
    <row r="514" ht="20.05" customHeight="1" x14ac:dyDescent="0.3"/>
    <row r="515" ht="20.05" customHeight="1" x14ac:dyDescent="0.3"/>
    <row r="516" ht="20.05" customHeight="1" x14ac:dyDescent="0.3"/>
    <row r="517" ht="20.05" customHeight="1" x14ac:dyDescent="0.3"/>
    <row r="518" ht="20.05" customHeight="1" x14ac:dyDescent="0.3"/>
    <row r="519" ht="20.05" customHeight="1" x14ac:dyDescent="0.3"/>
    <row r="520" ht="20.05" customHeight="1" x14ac:dyDescent="0.3"/>
    <row r="521" ht="20.05" customHeight="1" x14ac:dyDescent="0.3"/>
    <row r="522" ht="20.05" customHeight="1" x14ac:dyDescent="0.3"/>
    <row r="523" ht="20.05" customHeight="1" x14ac:dyDescent="0.3"/>
    <row r="524" ht="20.05" customHeight="1" x14ac:dyDescent="0.3"/>
    <row r="525" ht="20.05" customHeight="1" x14ac:dyDescent="0.3"/>
    <row r="526" ht="20.05" customHeight="1" x14ac:dyDescent="0.3"/>
    <row r="527" ht="20.05" customHeight="1" x14ac:dyDescent="0.3"/>
    <row r="528" ht="20.05" customHeight="1" x14ac:dyDescent="0.3"/>
    <row r="529" ht="20.05" customHeight="1" x14ac:dyDescent="0.3"/>
    <row r="530" ht="20.05" customHeight="1" x14ac:dyDescent="0.3"/>
    <row r="531" ht="20.05" customHeight="1" x14ac:dyDescent="0.3"/>
    <row r="532" ht="20.05" customHeight="1" x14ac:dyDescent="0.3"/>
    <row r="533" ht="20.05" customHeight="1" x14ac:dyDescent="0.3"/>
    <row r="534" ht="20.05" customHeight="1" x14ac:dyDescent="0.3"/>
    <row r="535" ht="20.05" customHeight="1" x14ac:dyDescent="0.3"/>
    <row r="536" ht="20.05" customHeight="1" x14ac:dyDescent="0.3"/>
    <row r="537" ht="20.05" customHeight="1" x14ac:dyDescent="0.3"/>
    <row r="538" ht="20.05" customHeight="1" x14ac:dyDescent="0.3"/>
    <row r="539" ht="20.05" customHeight="1" x14ac:dyDescent="0.3"/>
    <row r="540" ht="20.05" customHeight="1" x14ac:dyDescent="0.3"/>
    <row r="541" ht="20.05" customHeight="1" x14ac:dyDescent="0.3"/>
    <row r="542" ht="20.05" customHeight="1" x14ac:dyDescent="0.3"/>
    <row r="543" ht="20.05" customHeight="1" x14ac:dyDescent="0.3"/>
    <row r="544" ht="20.05" customHeight="1" x14ac:dyDescent="0.3"/>
    <row r="545" ht="20.05" customHeight="1" x14ac:dyDescent="0.3"/>
    <row r="546" ht="20.05" customHeight="1" x14ac:dyDescent="0.3"/>
    <row r="547" ht="20.05" customHeight="1" x14ac:dyDescent="0.3"/>
    <row r="548" ht="20.05" customHeight="1" x14ac:dyDescent="0.3"/>
    <row r="549" ht="20.05" customHeight="1" x14ac:dyDescent="0.3"/>
    <row r="550" ht="20.05" customHeight="1" x14ac:dyDescent="0.3"/>
    <row r="551" ht="20.05" customHeight="1" x14ac:dyDescent="0.3"/>
    <row r="552" ht="20.05" customHeight="1" x14ac:dyDescent="0.3"/>
    <row r="553" ht="20.05" customHeight="1" x14ac:dyDescent="0.3"/>
    <row r="554" ht="20.05" customHeight="1" x14ac:dyDescent="0.3"/>
    <row r="555" ht="20.05" customHeight="1" x14ac:dyDescent="0.3"/>
    <row r="556" ht="20.05" customHeight="1" x14ac:dyDescent="0.3"/>
    <row r="557" ht="20.05" customHeight="1" x14ac:dyDescent="0.3"/>
    <row r="558" ht="20.05" customHeight="1" x14ac:dyDescent="0.3"/>
    <row r="559" ht="20.05" customHeight="1" x14ac:dyDescent="0.3"/>
    <row r="560" ht="20.05" customHeight="1" x14ac:dyDescent="0.3"/>
    <row r="561" ht="20.05" customHeight="1" x14ac:dyDescent="0.3"/>
    <row r="562" ht="20.05" customHeight="1" x14ac:dyDescent="0.3"/>
    <row r="563" ht="20.05" customHeight="1" x14ac:dyDescent="0.3"/>
    <row r="564" ht="20.05" customHeight="1" x14ac:dyDescent="0.3"/>
    <row r="565" ht="20.05" customHeight="1" x14ac:dyDescent="0.3"/>
    <row r="566" ht="20.05" customHeight="1" x14ac:dyDescent="0.3"/>
    <row r="567" ht="20.05" customHeight="1" x14ac:dyDescent="0.3"/>
    <row r="568" ht="20.05" customHeight="1" x14ac:dyDescent="0.3"/>
    <row r="569" ht="20.05" customHeight="1" x14ac:dyDescent="0.3"/>
    <row r="570" ht="20.05" customHeight="1" x14ac:dyDescent="0.3"/>
    <row r="571" ht="20.05" customHeight="1" x14ac:dyDescent="0.3"/>
    <row r="572" ht="20.05" customHeight="1" x14ac:dyDescent="0.3"/>
    <row r="573" ht="20.05" customHeight="1" x14ac:dyDescent="0.3"/>
    <row r="574" ht="20.05" customHeight="1" x14ac:dyDescent="0.3"/>
    <row r="575" ht="20.05" customHeight="1" x14ac:dyDescent="0.3"/>
    <row r="576" ht="20.05" customHeight="1" x14ac:dyDescent="0.3"/>
    <row r="577" ht="20.05" customHeight="1" x14ac:dyDescent="0.3"/>
    <row r="578" ht="20.05" customHeight="1" x14ac:dyDescent="0.3"/>
    <row r="579" ht="20.05" customHeight="1" x14ac:dyDescent="0.3"/>
    <row r="580" ht="20.05" customHeight="1" x14ac:dyDescent="0.3"/>
    <row r="581" ht="20.05" customHeight="1" x14ac:dyDescent="0.3"/>
    <row r="582" ht="20.05" customHeight="1" x14ac:dyDescent="0.3"/>
    <row r="583" ht="20.05" customHeight="1" x14ac:dyDescent="0.3"/>
    <row r="584" ht="20.05" customHeight="1" x14ac:dyDescent="0.3"/>
    <row r="585" ht="20.05" customHeight="1" x14ac:dyDescent="0.3"/>
    <row r="586" ht="20.05" customHeight="1" x14ac:dyDescent="0.3"/>
    <row r="587" ht="20.05" customHeight="1" x14ac:dyDescent="0.3"/>
    <row r="588" ht="20.05" customHeight="1" x14ac:dyDescent="0.3"/>
    <row r="589" ht="20.05" customHeight="1" x14ac:dyDescent="0.3"/>
    <row r="590" ht="20.05" customHeight="1" x14ac:dyDescent="0.3"/>
    <row r="591" ht="20.05" customHeight="1" x14ac:dyDescent="0.3"/>
    <row r="592" ht="20.05" customHeight="1" x14ac:dyDescent="0.3"/>
    <row r="593" ht="20.05" customHeight="1" x14ac:dyDescent="0.3"/>
    <row r="594" ht="20.05" customHeight="1" x14ac:dyDescent="0.3"/>
    <row r="595" ht="20.05" customHeight="1" x14ac:dyDescent="0.3"/>
    <row r="596" ht="20.05" customHeight="1" x14ac:dyDescent="0.3"/>
    <row r="597" ht="20.05" customHeight="1" x14ac:dyDescent="0.3"/>
    <row r="598" ht="20.05" customHeight="1" x14ac:dyDescent="0.3"/>
    <row r="599" ht="20.05" customHeight="1" x14ac:dyDescent="0.3"/>
    <row r="600" ht="20.05" customHeight="1" x14ac:dyDescent="0.3"/>
    <row r="601" ht="20.05" customHeight="1" x14ac:dyDescent="0.3"/>
    <row r="602" ht="20.05" customHeight="1" x14ac:dyDescent="0.3"/>
    <row r="603" ht="20.05" customHeight="1" x14ac:dyDescent="0.3"/>
    <row r="604" ht="20.05" customHeight="1" x14ac:dyDescent="0.3"/>
    <row r="605" ht="20.05" customHeight="1" x14ac:dyDescent="0.3"/>
    <row r="606" ht="20.05" customHeight="1" x14ac:dyDescent="0.3"/>
    <row r="607" ht="20.05" customHeight="1" x14ac:dyDescent="0.3"/>
    <row r="608" ht="20.05" customHeight="1" x14ac:dyDescent="0.3"/>
    <row r="609" ht="20.05" customHeight="1" x14ac:dyDescent="0.3"/>
    <row r="610" ht="20.05" customHeight="1" x14ac:dyDescent="0.3"/>
    <row r="611" ht="20.05" customHeight="1" x14ac:dyDescent="0.3"/>
    <row r="612" ht="20.05" customHeight="1" x14ac:dyDescent="0.3"/>
    <row r="613" ht="20.05" customHeight="1" x14ac:dyDescent="0.3"/>
    <row r="614" ht="20.05" customHeight="1" x14ac:dyDescent="0.3"/>
    <row r="615" ht="20.05" customHeight="1" x14ac:dyDescent="0.3"/>
    <row r="616" ht="20.05" customHeight="1" x14ac:dyDescent="0.3"/>
    <row r="617" ht="20.05" customHeight="1" x14ac:dyDescent="0.3"/>
    <row r="618" ht="20.05" customHeight="1" x14ac:dyDescent="0.3"/>
    <row r="619" ht="20.05" customHeight="1" x14ac:dyDescent="0.3"/>
    <row r="620" ht="20.05" customHeight="1" x14ac:dyDescent="0.3"/>
    <row r="621" ht="20.05" customHeight="1" x14ac:dyDescent="0.3"/>
    <row r="622" ht="20.05" customHeight="1" x14ac:dyDescent="0.3"/>
    <row r="623" ht="20.05" customHeight="1" x14ac:dyDescent="0.3"/>
    <row r="624" ht="20.05" customHeight="1" x14ac:dyDescent="0.3"/>
    <row r="625" ht="20.05" customHeight="1" x14ac:dyDescent="0.3"/>
    <row r="626" ht="20.05" customHeight="1" x14ac:dyDescent="0.3"/>
    <row r="627" ht="20.05" customHeight="1" x14ac:dyDescent="0.3"/>
    <row r="628" ht="20.05" customHeight="1" x14ac:dyDescent="0.3"/>
    <row r="629" ht="20.05" customHeight="1" x14ac:dyDescent="0.3"/>
    <row r="630" ht="20.05" customHeight="1" x14ac:dyDescent="0.3"/>
    <row r="631" ht="20.05" customHeight="1" x14ac:dyDescent="0.3"/>
    <row r="632" ht="20.05" customHeight="1" x14ac:dyDescent="0.3"/>
    <row r="633" ht="20.05" customHeight="1" x14ac:dyDescent="0.3"/>
    <row r="634" ht="20.05" customHeight="1" x14ac:dyDescent="0.3"/>
    <row r="635" ht="20.05" customHeight="1" x14ac:dyDescent="0.3"/>
    <row r="636" ht="20.05" customHeight="1" x14ac:dyDescent="0.3"/>
    <row r="637" ht="20.05" customHeight="1" x14ac:dyDescent="0.3"/>
    <row r="638" ht="20.05" customHeight="1" x14ac:dyDescent="0.3"/>
    <row r="639" ht="20.05" customHeight="1" x14ac:dyDescent="0.3"/>
    <row r="640" ht="20.05" customHeight="1" x14ac:dyDescent="0.3"/>
    <row r="641" ht="20.05" customHeight="1" x14ac:dyDescent="0.3"/>
    <row r="642" ht="20.05" customHeight="1" x14ac:dyDescent="0.3"/>
    <row r="643" ht="20.05" customHeight="1" x14ac:dyDescent="0.3"/>
    <row r="644" ht="20.05" customHeight="1" x14ac:dyDescent="0.3"/>
    <row r="645" ht="20.05" customHeight="1" x14ac:dyDescent="0.3"/>
    <row r="646" ht="20.05" customHeight="1" x14ac:dyDescent="0.3"/>
    <row r="647" ht="20.05" customHeight="1" x14ac:dyDescent="0.3"/>
    <row r="648" ht="20.05" customHeight="1" x14ac:dyDescent="0.3"/>
    <row r="649" ht="20.05" customHeight="1" x14ac:dyDescent="0.3"/>
    <row r="650" ht="20.05" customHeight="1" x14ac:dyDescent="0.3"/>
    <row r="651" ht="20.05" customHeight="1" x14ac:dyDescent="0.3"/>
    <row r="652" ht="20.05" customHeight="1" x14ac:dyDescent="0.3"/>
    <row r="653" ht="20.05" customHeight="1" x14ac:dyDescent="0.3"/>
    <row r="654" ht="20.05" customHeight="1" x14ac:dyDescent="0.3"/>
    <row r="655" ht="20.05" customHeight="1" x14ac:dyDescent="0.3"/>
    <row r="656" ht="20.05" customHeight="1" x14ac:dyDescent="0.3"/>
    <row r="657" ht="20.05" customHeight="1" x14ac:dyDescent="0.3"/>
    <row r="658" ht="20.05" customHeight="1" x14ac:dyDescent="0.3"/>
    <row r="659" ht="20.05" customHeight="1" x14ac:dyDescent="0.3"/>
    <row r="660" ht="20.05" customHeight="1" x14ac:dyDescent="0.3"/>
    <row r="661" ht="20.05" customHeight="1" x14ac:dyDescent="0.3"/>
    <row r="662" ht="20.05" customHeight="1" x14ac:dyDescent="0.3"/>
    <row r="663" ht="20.05" customHeight="1" x14ac:dyDescent="0.3"/>
    <row r="664" ht="20.05" customHeight="1" x14ac:dyDescent="0.3"/>
    <row r="665" ht="20.05" customHeight="1" x14ac:dyDescent="0.3"/>
    <row r="666" ht="20.05" customHeight="1" x14ac:dyDescent="0.3"/>
    <row r="667" ht="20.05" customHeight="1" x14ac:dyDescent="0.3"/>
    <row r="668" ht="20.05" customHeight="1" x14ac:dyDescent="0.3"/>
    <row r="669" ht="20.05" customHeight="1" x14ac:dyDescent="0.3"/>
    <row r="670" ht="20.05" customHeight="1" x14ac:dyDescent="0.3"/>
    <row r="671" ht="20.05" customHeight="1" x14ac:dyDescent="0.3"/>
    <row r="672" ht="20.05" customHeight="1" x14ac:dyDescent="0.3"/>
    <row r="673" ht="20.05" customHeight="1" x14ac:dyDescent="0.3"/>
    <row r="674" ht="20.05" customHeight="1" x14ac:dyDescent="0.3"/>
    <row r="675" ht="20.05" customHeight="1" x14ac:dyDescent="0.3"/>
    <row r="676" ht="20.05" customHeight="1" x14ac:dyDescent="0.3"/>
    <row r="677" ht="20.05" customHeight="1" x14ac:dyDescent="0.3"/>
    <row r="678" ht="20.05" customHeight="1" x14ac:dyDescent="0.3"/>
    <row r="679" ht="20.05" customHeight="1" x14ac:dyDescent="0.3"/>
    <row r="680" ht="20.05" customHeight="1" x14ac:dyDescent="0.3"/>
    <row r="681" ht="20.05" customHeight="1" x14ac:dyDescent="0.3"/>
    <row r="682" ht="20.05" customHeight="1" x14ac:dyDescent="0.3"/>
    <row r="683" ht="20.05" customHeight="1" x14ac:dyDescent="0.3"/>
    <row r="684" ht="20.05" customHeight="1" x14ac:dyDescent="0.3"/>
    <row r="685" ht="20.05" customHeight="1" x14ac:dyDescent="0.3"/>
    <row r="686" ht="20.05" customHeight="1" x14ac:dyDescent="0.3"/>
    <row r="687" ht="20.05" customHeight="1" x14ac:dyDescent="0.3"/>
    <row r="688" ht="20.05" customHeight="1" x14ac:dyDescent="0.3"/>
    <row r="689" ht="20.05" customHeight="1" x14ac:dyDescent="0.3"/>
    <row r="690" ht="20.05" customHeight="1" x14ac:dyDescent="0.3"/>
    <row r="691" ht="20.05" customHeight="1" x14ac:dyDescent="0.3"/>
    <row r="692" ht="20.05" customHeight="1" x14ac:dyDescent="0.3"/>
    <row r="693" ht="20.05" customHeight="1" x14ac:dyDescent="0.3"/>
    <row r="694" ht="20.05" customHeight="1" x14ac:dyDescent="0.3"/>
    <row r="695" ht="20.05" customHeight="1" x14ac:dyDescent="0.3"/>
    <row r="696" ht="20.05" customHeight="1" x14ac:dyDescent="0.3"/>
    <row r="697" ht="20.05" customHeight="1" x14ac:dyDescent="0.3"/>
    <row r="698" ht="20.05" customHeight="1" x14ac:dyDescent="0.3"/>
    <row r="699" ht="20.05" customHeight="1" x14ac:dyDescent="0.3"/>
    <row r="700" ht="20.05" customHeight="1" x14ac:dyDescent="0.3"/>
    <row r="701" ht="20.05" customHeight="1" x14ac:dyDescent="0.3"/>
    <row r="702" ht="20.05" customHeight="1" x14ac:dyDescent="0.3"/>
    <row r="703" ht="20.05" customHeight="1" x14ac:dyDescent="0.3"/>
    <row r="704" ht="20.05" customHeight="1" x14ac:dyDescent="0.3"/>
    <row r="705" ht="20.05" customHeight="1" x14ac:dyDescent="0.3"/>
    <row r="706" ht="20.05" customHeight="1" x14ac:dyDescent="0.3"/>
    <row r="707" ht="20.05" customHeight="1" x14ac:dyDescent="0.3"/>
    <row r="708" ht="20.05" customHeight="1" x14ac:dyDescent="0.3"/>
    <row r="709" ht="20.05" customHeight="1" x14ac:dyDescent="0.3"/>
    <row r="710" ht="20.05" customHeight="1" x14ac:dyDescent="0.3"/>
    <row r="711" ht="20.05" customHeight="1" x14ac:dyDescent="0.3"/>
    <row r="712" ht="20.05" customHeight="1" x14ac:dyDescent="0.3"/>
    <row r="713" ht="20.05" customHeight="1" x14ac:dyDescent="0.3"/>
    <row r="714" ht="20.05" customHeight="1" x14ac:dyDescent="0.3"/>
    <row r="715" ht="20.05" customHeight="1" x14ac:dyDescent="0.3"/>
    <row r="716" ht="20.05" customHeight="1" x14ac:dyDescent="0.3"/>
    <row r="717" ht="20.05" customHeight="1" x14ac:dyDescent="0.3"/>
    <row r="718" ht="20.05" customHeight="1" x14ac:dyDescent="0.3"/>
    <row r="719" ht="20.05" customHeight="1" x14ac:dyDescent="0.3"/>
    <row r="720" ht="20.05" customHeight="1" x14ac:dyDescent="0.3"/>
    <row r="721" ht="20.05" customHeight="1" x14ac:dyDescent="0.3"/>
    <row r="722" ht="20.05" customHeight="1" x14ac:dyDescent="0.3"/>
    <row r="723" ht="20.05" customHeight="1" x14ac:dyDescent="0.3"/>
    <row r="724" ht="20.05" customHeight="1" x14ac:dyDescent="0.3"/>
    <row r="725" ht="20.05" customHeight="1" x14ac:dyDescent="0.3"/>
    <row r="726" ht="20.05" customHeight="1" x14ac:dyDescent="0.3"/>
    <row r="727" ht="20.05" customHeight="1" x14ac:dyDescent="0.3"/>
    <row r="728" ht="20.05" customHeight="1" x14ac:dyDescent="0.3"/>
    <row r="729" ht="20.05" customHeight="1" x14ac:dyDescent="0.3"/>
    <row r="730" ht="20.05" customHeight="1" x14ac:dyDescent="0.3"/>
    <row r="731" ht="20.05" customHeight="1" x14ac:dyDescent="0.3"/>
    <row r="732" ht="20.05" customHeight="1" x14ac:dyDescent="0.3"/>
    <row r="733" ht="20.05" customHeight="1" x14ac:dyDescent="0.3"/>
    <row r="734" ht="20.05" customHeight="1" x14ac:dyDescent="0.3"/>
    <row r="735" ht="20.05" customHeight="1" x14ac:dyDescent="0.3"/>
    <row r="736" ht="20.05" customHeight="1" x14ac:dyDescent="0.3"/>
    <row r="737" ht="20.05" customHeight="1" x14ac:dyDescent="0.3"/>
    <row r="738" ht="20.05" customHeight="1" x14ac:dyDescent="0.3"/>
    <row r="739" ht="20.05" customHeight="1" x14ac:dyDescent="0.3"/>
    <row r="740" ht="20.05" customHeight="1" x14ac:dyDescent="0.3"/>
    <row r="741" ht="20.05" customHeight="1" x14ac:dyDescent="0.3"/>
    <row r="742" ht="20.05" customHeight="1" x14ac:dyDescent="0.3"/>
    <row r="743" ht="20.05" customHeight="1" x14ac:dyDescent="0.3"/>
    <row r="744" ht="20.05" customHeight="1" x14ac:dyDescent="0.3"/>
    <row r="745" ht="20.05" customHeight="1" x14ac:dyDescent="0.3"/>
    <row r="746" ht="20.05" customHeight="1" x14ac:dyDescent="0.3"/>
    <row r="747" ht="20.05" customHeight="1" x14ac:dyDescent="0.3"/>
    <row r="748" ht="20.05" customHeight="1" x14ac:dyDescent="0.3"/>
    <row r="749" ht="20.05" customHeight="1" x14ac:dyDescent="0.3"/>
    <row r="750" ht="20.05" customHeight="1" x14ac:dyDescent="0.3"/>
    <row r="751" ht="20.05" customHeight="1" x14ac:dyDescent="0.3"/>
    <row r="752" ht="20.05" customHeight="1" x14ac:dyDescent="0.3"/>
    <row r="753" ht="20.05" customHeight="1" x14ac:dyDescent="0.3"/>
    <row r="754" ht="20.05" customHeight="1" x14ac:dyDescent="0.3"/>
    <row r="755" ht="20.05" customHeight="1" x14ac:dyDescent="0.3"/>
    <row r="756" ht="20.05" customHeight="1" x14ac:dyDescent="0.3"/>
    <row r="757" ht="20.05" customHeight="1" x14ac:dyDescent="0.3"/>
    <row r="758" ht="20.05" customHeight="1" x14ac:dyDescent="0.3"/>
    <row r="759" ht="20.05" customHeight="1" x14ac:dyDescent="0.3"/>
    <row r="760" ht="20.05" customHeight="1" x14ac:dyDescent="0.3"/>
    <row r="761" ht="20.05" customHeight="1" x14ac:dyDescent="0.3"/>
    <row r="762" ht="20.05" customHeight="1" x14ac:dyDescent="0.3"/>
    <row r="763" ht="20.05" customHeight="1" x14ac:dyDescent="0.3"/>
    <row r="764" ht="20.05" customHeight="1" x14ac:dyDescent="0.3"/>
    <row r="765" ht="20.05" customHeight="1" x14ac:dyDescent="0.3"/>
    <row r="766" ht="20.05" customHeight="1" x14ac:dyDescent="0.3"/>
    <row r="767" ht="20.05" customHeight="1" x14ac:dyDescent="0.3"/>
    <row r="768" ht="20.05" customHeight="1" x14ac:dyDescent="0.3"/>
    <row r="769" ht="20.05" customHeight="1" x14ac:dyDescent="0.3"/>
    <row r="770" ht="20.05" customHeight="1" x14ac:dyDescent="0.3"/>
    <row r="771" ht="20.05" customHeight="1" x14ac:dyDescent="0.3"/>
    <row r="772" ht="20.05" customHeight="1" x14ac:dyDescent="0.3"/>
    <row r="773" ht="20.05" customHeight="1" x14ac:dyDescent="0.3"/>
    <row r="774" ht="20.05" customHeight="1" x14ac:dyDescent="0.3"/>
    <row r="775" ht="20.05" customHeight="1" x14ac:dyDescent="0.3"/>
    <row r="776" ht="20.05" customHeight="1" x14ac:dyDescent="0.3"/>
    <row r="777" ht="20.05" customHeight="1" x14ac:dyDescent="0.3"/>
    <row r="778" ht="20.05" customHeight="1" x14ac:dyDescent="0.3"/>
    <row r="779" ht="20.05" customHeight="1" x14ac:dyDescent="0.3"/>
    <row r="780" ht="20.05" customHeight="1" x14ac:dyDescent="0.3"/>
    <row r="781" ht="20.05" customHeight="1" x14ac:dyDescent="0.3"/>
    <row r="782" ht="20.05" customHeight="1" x14ac:dyDescent="0.3"/>
    <row r="783" ht="20.05" customHeight="1" x14ac:dyDescent="0.3"/>
    <row r="784" ht="20.05" customHeight="1" x14ac:dyDescent="0.3"/>
    <row r="785" ht="20.05" customHeight="1" x14ac:dyDescent="0.3"/>
    <row r="786" ht="20.05" customHeight="1" x14ac:dyDescent="0.3"/>
    <row r="787" ht="20.05" customHeight="1" x14ac:dyDescent="0.3"/>
    <row r="788" ht="20.05" customHeight="1" x14ac:dyDescent="0.3"/>
    <row r="789" ht="20.05" customHeight="1" x14ac:dyDescent="0.3"/>
    <row r="790" ht="20.05" customHeight="1" x14ac:dyDescent="0.3"/>
    <row r="791" ht="20.05" customHeight="1" x14ac:dyDescent="0.3"/>
    <row r="792" ht="20.05" customHeight="1" x14ac:dyDescent="0.3"/>
    <row r="793" ht="20.05" customHeight="1" x14ac:dyDescent="0.3"/>
    <row r="794" ht="20.05" customHeight="1" x14ac:dyDescent="0.3"/>
    <row r="795" ht="20.05" customHeight="1" x14ac:dyDescent="0.3"/>
    <row r="796" ht="20.05" customHeight="1" x14ac:dyDescent="0.3"/>
    <row r="797" ht="20.05" customHeight="1" x14ac:dyDescent="0.3"/>
    <row r="798" ht="20.05" customHeight="1" x14ac:dyDescent="0.3"/>
    <row r="799" ht="20.05" customHeight="1" x14ac:dyDescent="0.3"/>
    <row r="800" ht="20.05" customHeight="1" x14ac:dyDescent="0.3"/>
    <row r="801" ht="20.05" customHeight="1" x14ac:dyDescent="0.3"/>
    <row r="802" ht="20.05" customHeight="1" x14ac:dyDescent="0.3"/>
    <row r="803" ht="20.05" customHeight="1" x14ac:dyDescent="0.3"/>
    <row r="804" ht="20.05" customHeight="1" x14ac:dyDescent="0.3"/>
    <row r="805" ht="20.05" customHeight="1" x14ac:dyDescent="0.3"/>
    <row r="806" ht="20.05" customHeight="1" x14ac:dyDescent="0.3"/>
    <row r="807" ht="20.05" customHeight="1" x14ac:dyDescent="0.3"/>
    <row r="808" ht="20.05" customHeight="1" x14ac:dyDescent="0.3"/>
    <row r="809" ht="20.05" customHeight="1" x14ac:dyDescent="0.3"/>
    <row r="810" ht="20.05" customHeight="1" x14ac:dyDescent="0.3"/>
    <row r="811" ht="20.05" customHeight="1" x14ac:dyDescent="0.3"/>
    <row r="812" ht="20.05" customHeight="1" x14ac:dyDescent="0.3"/>
    <row r="813" ht="20.05" customHeight="1" x14ac:dyDescent="0.3"/>
    <row r="814" ht="20.05" customHeight="1" x14ac:dyDescent="0.3"/>
    <row r="815" ht="20.05" customHeight="1" x14ac:dyDescent="0.3"/>
    <row r="816" ht="20.05" customHeight="1" x14ac:dyDescent="0.3"/>
    <row r="817" ht="20.05" customHeight="1" x14ac:dyDescent="0.3"/>
    <row r="818" ht="20.05" customHeight="1" x14ac:dyDescent="0.3"/>
    <row r="819" ht="20.05" customHeight="1" x14ac:dyDescent="0.3"/>
    <row r="820" ht="20.05" customHeight="1" x14ac:dyDescent="0.3"/>
    <row r="821" ht="20.05" customHeight="1" x14ac:dyDescent="0.3"/>
    <row r="822" ht="20.05" customHeight="1" x14ac:dyDescent="0.3"/>
    <row r="823" ht="20.05" customHeight="1" x14ac:dyDescent="0.3"/>
    <row r="824" ht="20.05" customHeight="1" x14ac:dyDescent="0.3"/>
    <row r="825" ht="20.05" customHeight="1" x14ac:dyDescent="0.3"/>
    <row r="826" ht="20.05" customHeight="1" x14ac:dyDescent="0.3"/>
    <row r="827" ht="20.05" customHeight="1" x14ac:dyDescent="0.3"/>
    <row r="828" ht="20.05" customHeight="1" x14ac:dyDescent="0.3"/>
    <row r="829" ht="20.05" customHeight="1" x14ac:dyDescent="0.3"/>
    <row r="830" ht="20.05" customHeight="1" x14ac:dyDescent="0.3"/>
    <row r="831" ht="20.05" customHeight="1" x14ac:dyDescent="0.3"/>
    <row r="832" ht="20.05" customHeight="1" x14ac:dyDescent="0.3"/>
    <row r="833" ht="20.05" customHeight="1" x14ac:dyDescent="0.3"/>
    <row r="834" ht="20.05" customHeight="1" x14ac:dyDescent="0.3"/>
    <row r="835" ht="20.05" customHeight="1" x14ac:dyDescent="0.3"/>
    <row r="836" ht="20.05" customHeight="1" x14ac:dyDescent="0.3"/>
    <row r="837" ht="20.05" customHeight="1" x14ac:dyDescent="0.3"/>
    <row r="838" ht="20.05" customHeight="1" x14ac:dyDescent="0.3"/>
    <row r="839" ht="20.05" customHeight="1" x14ac:dyDescent="0.3"/>
    <row r="840" ht="20.05" customHeight="1" x14ac:dyDescent="0.3"/>
    <row r="841" ht="20.05" customHeight="1" x14ac:dyDescent="0.3"/>
    <row r="842" ht="20.05" customHeight="1" x14ac:dyDescent="0.3"/>
    <row r="843" ht="20.05" customHeight="1" x14ac:dyDescent="0.3"/>
    <row r="844" ht="20.05" customHeight="1" x14ac:dyDescent="0.3"/>
    <row r="845" ht="20.05" customHeight="1" x14ac:dyDescent="0.3"/>
    <row r="846" ht="20.05" customHeight="1" x14ac:dyDescent="0.3"/>
    <row r="847" ht="20.05" customHeight="1" x14ac:dyDescent="0.3"/>
    <row r="848" ht="20.05" customHeight="1" x14ac:dyDescent="0.3"/>
    <row r="849" ht="20.05" customHeight="1" x14ac:dyDescent="0.3"/>
    <row r="850" ht="20.05" customHeight="1" x14ac:dyDescent="0.3"/>
    <row r="851" ht="20.05" customHeight="1" x14ac:dyDescent="0.3"/>
    <row r="852" ht="20.05" customHeight="1" x14ac:dyDescent="0.3"/>
    <row r="853" ht="20.05" customHeight="1" x14ac:dyDescent="0.3"/>
    <row r="854" ht="20.05" customHeight="1" x14ac:dyDescent="0.3"/>
    <row r="855" ht="20.05" customHeight="1" x14ac:dyDescent="0.3"/>
    <row r="856" ht="20.05" customHeight="1" x14ac:dyDescent="0.3"/>
    <row r="857" ht="20.05" customHeight="1" x14ac:dyDescent="0.3"/>
    <row r="858" ht="20.05" customHeight="1" x14ac:dyDescent="0.3"/>
    <row r="859" ht="20.05" customHeight="1" x14ac:dyDescent="0.3"/>
    <row r="860" ht="20.05" customHeight="1" x14ac:dyDescent="0.3"/>
    <row r="861" ht="20.05" customHeight="1" x14ac:dyDescent="0.3"/>
    <row r="862" ht="20.05" customHeight="1" x14ac:dyDescent="0.3"/>
    <row r="863" ht="20.05" customHeight="1" x14ac:dyDescent="0.3"/>
    <row r="864" ht="20.05" customHeight="1" x14ac:dyDescent="0.3"/>
    <row r="865" ht="20.05" customHeight="1" x14ac:dyDescent="0.3"/>
    <row r="866" ht="20.05" customHeight="1" x14ac:dyDescent="0.3"/>
    <row r="867" ht="20.05" customHeight="1" x14ac:dyDescent="0.3"/>
    <row r="868" ht="20.05" customHeight="1" x14ac:dyDescent="0.3"/>
    <row r="869" ht="20.05" customHeight="1" x14ac:dyDescent="0.3"/>
    <row r="870" ht="20.05" customHeight="1" x14ac:dyDescent="0.3"/>
    <row r="871" ht="20.05" customHeight="1" x14ac:dyDescent="0.3"/>
    <row r="872" ht="20.05" customHeight="1" x14ac:dyDescent="0.3"/>
    <row r="873" ht="20.05" customHeight="1" x14ac:dyDescent="0.3"/>
    <row r="874" ht="20.05" customHeight="1" x14ac:dyDescent="0.3"/>
    <row r="875" ht="20.05" customHeight="1" x14ac:dyDescent="0.3"/>
    <row r="876" ht="20.05" customHeight="1" x14ac:dyDescent="0.3"/>
    <row r="877" ht="20.05" customHeight="1" x14ac:dyDescent="0.3"/>
    <row r="878" ht="20.05" customHeight="1" x14ac:dyDescent="0.3"/>
    <row r="879" ht="20.05" customHeight="1" x14ac:dyDescent="0.3"/>
    <row r="880" ht="20.05" customHeight="1" x14ac:dyDescent="0.3"/>
    <row r="881" ht="20.05" customHeight="1" x14ac:dyDescent="0.3"/>
    <row r="882" ht="20.05" customHeight="1" x14ac:dyDescent="0.3"/>
    <row r="883" ht="20.05" customHeight="1" x14ac:dyDescent="0.3"/>
    <row r="884" ht="20.05" customHeight="1" x14ac:dyDescent="0.3"/>
    <row r="885" ht="20.05" customHeight="1" x14ac:dyDescent="0.3"/>
    <row r="886" ht="20.05" customHeight="1" x14ac:dyDescent="0.3"/>
    <row r="887" ht="20.05" customHeight="1" x14ac:dyDescent="0.3"/>
    <row r="888" ht="20.05" customHeight="1" x14ac:dyDescent="0.3"/>
    <row r="889" ht="20.05" customHeight="1" x14ac:dyDescent="0.3"/>
    <row r="890" ht="20.05" customHeight="1" x14ac:dyDescent="0.3"/>
    <row r="891" ht="20.05" customHeight="1" x14ac:dyDescent="0.3"/>
    <row r="892" ht="20.05" customHeight="1" x14ac:dyDescent="0.3"/>
    <row r="893" ht="20.05" customHeight="1" x14ac:dyDescent="0.3"/>
    <row r="894" ht="20.05" customHeight="1" x14ac:dyDescent="0.3"/>
    <row r="895" ht="20.05" customHeight="1" x14ac:dyDescent="0.3"/>
    <row r="896" ht="20.05" customHeight="1" x14ac:dyDescent="0.3"/>
    <row r="897" ht="20.05" customHeight="1" x14ac:dyDescent="0.3"/>
    <row r="898" ht="20.05" customHeight="1" x14ac:dyDescent="0.3"/>
    <row r="899" ht="20.05" customHeight="1" x14ac:dyDescent="0.3"/>
    <row r="900" ht="20.05" customHeight="1" x14ac:dyDescent="0.3"/>
    <row r="901" ht="20.05" customHeight="1" x14ac:dyDescent="0.3"/>
    <row r="902" ht="20.05" customHeight="1" x14ac:dyDescent="0.3"/>
    <row r="903" ht="20.05" customHeight="1" x14ac:dyDescent="0.3"/>
    <row r="904" ht="20.05" customHeight="1" x14ac:dyDescent="0.3"/>
    <row r="905" ht="20.05" customHeight="1" x14ac:dyDescent="0.3"/>
    <row r="906" ht="20.05" customHeight="1" x14ac:dyDescent="0.3"/>
    <row r="907" ht="20.05" customHeight="1" x14ac:dyDescent="0.3"/>
    <row r="908" ht="20.05" customHeight="1" x14ac:dyDescent="0.3"/>
    <row r="909" ht="20.05" customHeight="1" x14ac:dyDescent="0.3"/>
    <row r="910" ht="20.05" customHeight="1" x14ac:dyDescent="0.3"/>
    <row r="911" ht="20.05" customHeight="1" x14ac:dyDescent="0.3"/>
    <row r="912" ht="20.05" customHeight="1" x14ac:dyDescent="0.3"/>
    <row r="913" ht="20.05" customHeight="1" x14ac:dyDescent="0.3"/>
    <row r="914" ht="20.05" customHeight="1" x14ac:dyDescent="0.3"/>
    <row r="915" ht="20.05" customHeight="1" x14ac:dyDescent="0.3"/>
    <row r="916" ht="20.05" customHeight="1" x14ac:dyDescent="0.3"/>
    <row r="917" ht="20.05" customHeight="1" x14ac:dyDescent="0.3"/>
    <row r="918" ht="20.05" customHeight="1" x14ac:dyDescent="0.3"/>
    <row r="919" ht="20.05" customHeight="1" x14ac:dyDescent="0.3"/>
    <row r="920" ht="20.05" customHeight="1" x14ac:dyDescent="0.3"/>
    <row r="921" ht="20.05" customHeight="1" x14ac:dyDescent="0.3"/>
    <row r="922" ht="20.05" customHeight="1" x14ac:dyDescent="0.3"/>
    <row r="923" ht="20.05" customHeight="1" x14ac:dyDescent="0.3"/>
    <row r="924" ht="20.05" customHeight="1" x14ac:dyDescent="0.3"/>
    <row r="925" ht="20.05" customHeight="1" x14ac:dyDescent="0.3"/>
    <row r="926" ht="20.05" customHeight="1" x14ac:dyDescent="0.3"/>
    <row r="927" ht="20.05" customHeight="1" x14ac:dyDescent="0.3"/>
    <row r="928" ht="20.05" customHeight="1" x14ac:dyDescent="0.3"/>
    <row r="929" ht="20.05" customHeight="1" x14ac:dyDescent="0.3"/>
    <row r="930" ht="20.05" customHeight="1" x14ac:dyDescent="0.3"/>
    <row r="931" ht="20.05" customHeight="1" x14ac:dyDescent="0.3"/>
    <row r="932" ht="20.05" customHeight="1" x14ac:dyDescent="0.3"/>
    <row r="933" ht="20.05" customHeight="1" x14ac:dyDescent="0.3"/>
    <row r="934" ht="20.05" customHeight="1" x14ac:dyDescent="0.3"/>
    <row r="935" ht="20.05" customHeight="1" x14ac:dyDescent="0.3"/>
    <row r="936" ht="20.05" customHeight="1" x14ac:dyDescent="0.3"/>
    <row r="937" ht="20.05" customHeight="1" x14ac:dyDescent="0.3"/>
    <row r="938" ht="20.05" customHeight="1" x14ac:dyDescent="0.3"/>
    <row r="939" ht="20.05" customHeight="1" x14ac:dyDescent="0.3"/>
    <row r="940" ht="20.05" customHeight="1" x14ac:dyDescent="0.3"/>
    <row r="941" ht="20.05" customHeight="1" x14ac:dyDescent="0.3"/>
    <row r="942" ht="20.05" customHeight="1" x14ac:dyDescent="0.3"/>
    <row r="943" ht="20.05" customHeight="1" x14ac:dyDescent="0.3"/>
    <row r="944" ht="20.05" customHeight="1" x14ac:dyDescent="0.3"/>
    <row r="945" ht="20.05" customHeight="1" x14ac:dyDescent="0.3"/>
    <row r="946" ht="20.05" customHeight="1" x14ac:dyDescent="0.3"/>
    <row r="947" ht="20.05" customHeight="1" x14ac:dyDescent="0.3"/>
    <row r="948" ht="20.05" customHeight="1" x14ac:dyDescent="0.3"/>
    <row r="949" ht="20.05" customHeight="1" x14ac:dyDescent="0.3"/>
    <row r="950" ht="20.05" customHeight="1" x14ac:dyDescent="0.3"/>
    <row r="951" ht="20.05" customHeight="1" x14ac:dyDescent="0.3"/>
    <row r="952" ht="20.05" customHeight="1" x14ac:dyDescent="0.3"/>
    <row r="953" ht="20.05" customHeight="1" x14ac:dyDescent="0.3"/>
    <row r="954" ht="20.05" customHeight="1" x14ac:dyDescent="0.3"/>
    <row r="955" ht="20.05" customHeight="1" x14ac:dyDescent="0.3"/>
    <row r="956" ht="20.05" customHeight="1" x14ac:dyDescent="0.3"/>
    <row r="957" ht="20.05" customHeight="1" x14ac:dyDescent="0.3"/>
    <row r="958" ht="20.05" customHeight="1" x14ac:dyDescent="0.3"/>
    <row r="959" ht="20.05" customHeight="1" x14ac:dyDescent="0.3"/>
    <row r="960" ht="20.05" customHeight="1" x14ac:dyDescent="0.3"/>
    <row r="961" ht="20.05" customHeight="1" x14ac:dyDescent="0.3"/>
    <row r="962" ht="20.05" customHeight="1" x14ac:dyDescent="0.3"/>
    <row r="963" ht="20.05" customHeight="1" x14ac:dyDescent="0.3"/>
    <row r="964" ht="20.05" customHeight="1" x14ac:dyDescent="0.3"/>
    <row r="965" ht="20.05" customHeight="1" x14ac:dyDescent="0.3"/>
    <row r="966" ht="20.05" customHeight="1" x14ac:dyDescent="0.3"/>
    <row r="967" ht="20.05" customHeight="1" x14ac:dyDescent="0.3"/>
    <row r="968" ht="20.05" customHeight="1" x14ac:dyDescent="0.3"/>
    <row r="969" ht="20.05" customHeight="1" x14ac:dyDescent="0.3"/>
    <row r="970" ht="20.05" customHeight="1" x14ac:dyDescent="0.3"/>
    <row r="971" ht="20.05" customHeight="1" x14ac:dyDescent="0.3"/>
    <row r="972" ht="20.05" customHeight="1" x14ac:dyDescent="0.3"/>
    <row r="973" ht="20.05" customHeight="1" x14ac:dyDescent="0.3"/>
    <row r="974" ht="20.05" customHeight="1" x14ac:dyDescent="0.3"/>
    <row r="975" ht="20.05" customHeight="1" x14ac:dyDescent="0.3"/>
    <row r="976" ht="20.05" customHeight="1" x14ac:dyDescent="0.3"/>
    <row r="977" ht="20.05" customHeight="1" x14ac:dyDescent="0.3"/>
    <row r="978" ht="20.05" customHeight="1" x14ac:dyDescent="0.3"/>
    <row r="979" ht="20.05" customHeight="1" x14ac:dyDescent="0.3"/>
    <row r="980" ht="20.05" customHeight="1" x14ac:dyDescent="0.3"/>
    <row r="981" ht="20.05" customHeight="1" x14ac:dyDescent="0.3"/>
    <row r="982" ht="20.05" customHeight="1" x14ac:dyDescent="0.3"/>
    <row r="983" ht="20.05" customHeight="1" x14ac:dyDescent="0.3"/>
    <row r="984" ht="20.05" customHeight="1" x14ac:dyDescent="0.3"/>
    <row r="985" ht="20.05" customHeight="1" x14ac:dyDescent="0.3"/>
    <row r="986" ht="20.05" customHeight="1" x14ac:dyDescent="0.3"/>
    <row r="987" ht="20.05" customHeight="1" x14ac:dyDescent="0.3"/>
    <row r="988" ht="20.05" customHeight="1" x14ac:dyDescent="0.3"/>
    <row r="989" ht="20.05" customHeight="1" x14ac:dyDescent="0.3"/>
    <row r="990" ht="20.05" customHeight="1" x14ac:dyDescent="0.3"/>
    <row r="991" ht="20.05" customHeight="1" x14ac:dyDescent="0.3"/>
    <row r="992" ht="20.05" customHeight="1" x14ac:dyDescent="0.3"/>
    <row r="993" ht="20.05" customHeight="1" x14ac:dyDescent="0.3"/>
    <row r="994" ht="20.05" customHeight="1" x14ac:dyDescent="0.3"/>
    <row r="995" ht="20.05" customHeight="1" x14ac:dyDescent="0.3"/>
    <row r="996" ht="20.05" customHeight="1" x14ac:dyDescent="0.3"/>
    <row r="997" ht="20.05" customHeight="1" x14ac:dyDescent="0.3"/>
    <row r="998" ht="20.05" customHeight="1" x14ac:dyDescent="0.3"/>
    <row r="999" ht="20.05" customHeight="1" x14ac:dyDescent="0.3"/>
    <row r="1000" ht="20.05" customHeight="1" x14ac:dyDescent="0.3"/>
    <row r="1001" ht="20.05" customHeight="1" x14ac:dyDescent="0.3"/>
    <row r="1002" ht="20.05" customHeight="1" x14ac:dyDescent="0.3"/>
    <row r="1003" ht="20.05" customHeight="1" x14ac:dyDescent="0.3"/>
    <row r="1004" ht="20.05" customHeight="1" x14ac:dyDescent="0.3"/>
    <row r="1005" ht="20.05" customHeight="1" x14ac:dyDescent="0.3"/>
    <row r="1006" ht="20.05" customHeight="1" x14ac:dyDescent="0.3"/>
    <row r="1007" ht="20.05" customHeight="1" x14ac:dyDescent="0.3"/>
    <row r="1008" ht="20.05" customHeight="1" x14ac:dyDescent="0.3"/>
    <row r="1009" ht="20.05" customHeight="1" x14ac:dyDescent="0.3"/>
    <row r="1010" ht="20.05" customHeight="1" x14ac:dyDescent="0.3"/>
    <row r="1011" ht="20.05" customHeight="1" x14ac:dyDescent="0.3"/>
    <row r="1012" ht="20.05" customHeight="1" x14ac:dyDescent="0.3"/>
    <row r="1013" ht="20.05" customHeight="1" x14ac:dyDescent="0.3"/>
    <row r="1014" ht="20.05" customHeight="1" x14ac:dyDescent="0.3"/>
    <row r="1015" ht="20.05" customHeight="1" x14ac:dyDescent="0.3"/>
    <row r="1016" ht="20.05" customHeight="1" x14ac:dyDescent="0.3"/>
    <row r="1017" ht="20.05" customHeight="1" x14ac:dyDescent="0.3"/>
    <row r="1018" ht="20.05" customHeight="1" x14ac:dyDescent="0.3"/>
    <row r="1019" ht="20.05" customHeight="1" x14ac:dyDescent="0.3"/>
    <row r="1020" ht="20.05" customHeight="1" x14ac:dyDescent="0.3"/>
    <row r="1021" ht="20.05" customHeight="1" x14ac:dyDescent="0.3"/>
    <row r="1022" ht="20.05" customHeight="1" x14ac:dyDescent="0.3"/>
    <row r="1023" ht="20.05" customHeight="1" x14ac:dyDescent="0.3"/>
    <row r="1024" ht="20.05" customHeight="1" x14ac:dyDescent="0.3"/>
    <row r="1025" ht="20.05" customHeight="1" x14ac:dyDescent="0.3"/>
    <row r="1026" ht="20.05" customHeight="1" x14ac:dyDescent="0.3"/>
    <row r="1027" ht="20.05" customHeight="1" x14ac:dyDescent="0.3"/>
    <row r="1028" ht="20.05" customHeight="1" x14ac:dyDescent="0.3"/>
    <row r="1029" ht="20.05" customHeight="1" x14ac:dyDescent="0.3"/>
    <row r="1030" ht="20.05" customHeight="1" x14ac:dyDescent="0.3"/>
    <row r="1031" ht="20.05" customHeight="1" x14ac:dyDescent="0.3"/>
    <row r="1032" ht="20.05" customHeight="1" x14ac:dyDescent="0.3"/>
    <row r="1033" ht="20.05" customHeight="1" x14ac:dyDescent="0.3"/>
    <row r="1034" ht="20.05" customHeight="1" x14ac:dyDescent="0.3"/>
    <row r="1035" ht="20.05" customHeight="1" x14ac:dyDescent="0.3"/>
    <row r="1036" ht="20.05" customHeight="1" x14ac:dyDescent="0.3"/>
    <row r="1037" ht="20.05" customHeight="1" x14ac:dyDescent="0.3"/>
    <row r="1038" ht="20.05" customHeight="1" x14ac:dyDescent="0.3"/>
    <row r="1039" ht="20.05" customHeight="1" x14ac:dyDescent="0.3"/>
    <row r="1040" ht="20.05" customHeight="1" x14ac:dyDescent="0.3"/>
    <row r="1041" ht="20.05" customHeight="1" x14ac:dyDescent="0.3"/>
    <row r="1042" ht="20.05" customHeight="1" x14ac:dyDescent="0.3"/>
    <row r="1043" ht="20.05" customHeight="1" x14ac:dyDescent="0.3"/>
    <row r="1044" ht="20.05" customHeight="1" x14ac:dyDescent="0.3"/>
    <row r="1045" ht="20.05" customHeight="1" x14ac:dyDescent="0.3"/>
    <row r="1046" ht="20.05" customHeight="1" x14ac:dyDescent="0.3"/>
    <row r="1047" ht="20.05" customHeight="1" x14ac:dyDescent="0.3"/>
    <row r="1048" ht="20.05" customHeight="1" x14ac:dyDescent="0.3"/>
    <row r="1049" ht="20.05" customHeight="1" x14ac:dyDescent="0.3"/>
    <row r="1050" ht="20.05" customHeight="1" x14ac:dyDescent="0.3"/>
    <row r="1051" ht="20.05" customHeight="1" x14ac:dyDescent="0.3"/>
    <row r="1052" ht="20.05" customHeight="1" x14ac:dyDescent="0.3"/>
    <row r="1053" ht="20.05" customHeight="1" x14ac:dyDescent="0.3"/>
    <row r="1054" ht="20.05" customHeight="1" x14ac:dyDescent="0.3"/>
    <row r="1055" ht="20.05" customHeight="1" x14ac:dyDescent="0.3"/>
    <row r="1056" ht="20.05" customHeight="1" x14ac:dyDescent="0.3"/>
    <row r="1057" ht="20.05" customHeight="1" x14ac:dyDescent="0.3"/>
    <row r="1058" ht="20.05" customHeight="1" x14ac:dyDescent="0.3"/>
    <row r="1059" ht="20.05" customHeight="1" x14ac:dyDescent="0.3"/>
    <row r="1060" ht="20.05" customHeight="1" x14ac:dyDescent="0.3"/>
    <row r="1061" ht="20.05" customHeight="1" x14ac:dyDescent="0.3"/>
    <row r="1062" ht="20.05" customHeight="1" x14ac:dyDescent="0.3"/>
    <row r="1063" ht="20.05" customHeight="1" x14ac:dyDescent="0.3"/>
    <row r="1064" ht="20.05" customHeight="1" x14ac:dyDescent="0.3"/>
    <row r="1065" ht="20.05" customHeight="1" x14ac:dyDescent="0.3"/>
    <row r="1066" ht="20.05" customHeight="1" x14ac:dyDescent="0.3"/>
    <row r="1067" ht="20.05" customHeight="1" x14ac:dyDescent="0.3"/>
    <row r="1068" ht="20.05" customHeight="1" x14ac:dyDescent="0.3"/>
    <row r="1069" ht="20.05" customHeight="1" x14ac:dyDescent="0.3"/>
    <row r="1070" ht="20.05" customHeight="1" x14ac:dyDescent="0.3"/>
    <row r="1071" ht="20.05" customHeight="1" x14ac:dyDescent="0.3"/>
    <row r="1072" ht="20.05" customHeight="1" x14ac:dyDescent="0.3"/>
    <row r="1073" ht="20.05" customHeight="1" x14ac:dyDescent="0.3"/>
    <row r="1074" ht="20.05" customHeight="1" x14ac:dyDescent="0.3"/>
    <row r="1075" ht="20.05" customHeight="1" x14ac:dyDescent="0.3"/>
    <row r="1076" ht="20.05" customHeight="1" x14ac:dyDescent="0.3"/>
    <row r="1077" ht="20.05" customHeight="1" x14ac:dyDescent="0.3"/>
    <row r="1078" ht="20.05" customHeight="1" x14ac:dyDescent="0.3"/>
    <row r="1079" ht="20.05" customHeight="1" x14ac:dyDescent="0.3"/>
    <row r="1080" ht="20.05" customHeight="1" x14ac:dyDescent="0.3"/>
    <row r="1081" ht="20.05" customHeight="1" x14ac:dyDescent="0.3"/>
    <row r="1082" ht="20.05" customHeight="1" x14ac:dyDescent="0.3"/>
    <row r="1083" ht="20.05" customHeight="1" x14ac:dyDescent="0.3"/>
    <row r="1084" ht="20.05" customHeight="1" x14ac:dyDescent="0.3"/>
    <row r="1085" ht="20.05" customHeight="1" x14ac:dyDescent="0.3"/>
    <row r="1086" ht="20.05" customHeight="1" x14ac:dyDescent="0.3"/>
    <row r="1087" ht="20.05" customHeight="1" x14ac:dyDescent="0.3"/>
    <row r="1088" ht="20.05" customHeight="1" x14ac:dyDescent="0.3"/>
    <row r="1089" ht="20.05" customHeight="1" x14ac:dyDescent="0.3"/>
    <row r="1090" ht="20.05" customHeight="1" x14ac:dyDescent="0.3"/>
    <row r="1091" ht="20.05" customHeight="1" x14ac:dyDescent="0.3"/>
    <row r="1092" ht="20.05" customHeight="1" x14ac:dyDescent="0.3"/>
    <row r="1093" ht="20.05" customHeight="1" x14ac:dyDescent="0.3"/>
    <row r="1094" ht="20.05" customHeight="1" x14ac:dyDescent="0.3"/>
    <row r="1095" ht="20.05" customHeight="1" x14ac:dyDescent="0.3"/>
    <row r="1096" ht="20.05" customHeight="1" x14ac:dyDescent="0.3"/>
    <row r="1097" ht="20.05" customHeight="1" x14ac:dyDescent="0.3"/>
    <row r="1098" ht="20.05" customHeight="1" x14ac:dyDescent="0.3"/>
    <row r="1099" ht="20.05" customHeight="1" x14ac:dyDescent="0.3"/>
    <row r="1100" ht="20.05" customHeight="1" x14ac:dyDescent="0.3"/>
    <row r="1101" ht="20.05" customHeight="1" x14ac:dyDescent="0.3"/>
    <row r="1102" ht="20.05" customHeight="1" x14ac:dyDescent="0.3"/>
    <row r="1103" ht="20.05" customHeight="1" x14ac:dyDescent="0.3"/>
    <row r="1104" ht="20.05" customHeight="1" x14ac:dyDescent="0.3"/>
    <row r="1105" ht="20.05" customHeight="1" x14ac:dyDescent="0.3"/>
    <row r="1106" ht="20.05" customHeight="1" x14ac:dyDescent="0.3"/>
    <row r="1107" ht="20.05" customHeight="1" x14ac:dyDescent="0.3"/>
    <row r="1108" ht="20.05" customHeight="1" x14ac:dyDescent="0.3"/>
    <row r="1109" ht="20.05" customHeight="1" x14ac:dyDescent="0.3"/>
    <row r="1110" ht="20.05" customHeight="1" x14ac:dyDescent="0.3"/>
    <row r="1111" ht="20.05" customHeight="1" x14ac:dyDescent="0.3"/>
    <row r="1112" ht="20.05" customHeight="1" x14ac:dyDescent="0.3"/>
    <row r="1113" ht="20.05" customHeight="1" x14ac:dyDescent="0.3"/>
    <row r="1114" ht="20.05" customHeight="1" x14ac:dyDescent="0.3"/>
    <row r="1115" ht="20.05" customHeight="1" x14ac:dyDescent="0.3"/>
    <row r="1116" ht="20.05" customHeight="1" x14ac:dyDescent="0.3"/>
    <row r="1117" ht="20.05" customHeight="1" x14ac:dyDescent="0.3"/>
    <row r="1118" ht="20.05" customHeight="1" x14ac:dyDescent="0.3"/>
    <row r="1119" ht="20.05" customHeight="1" x14ac:dyDescent="0.3"/>
    <row r="1120" ht="20.05" customHeight="1" x14ac:dyDescent="0.3"/>
    <row r="1121" ht="20.05" customHeight="1" x14ac:dyDescent="0.3"/>
    <row r="1122" ht="20.05" customHeight="1" x14ac:dyDescent="0.3"/>
    <row r="1123" ht="20.05" customHeight="1" x14ac:dyDescent="0.3"/>
    <row r="1124" ht="20.05" customHeight="1" x14ac:dyDescent="0.3"/>
    <row r="1125" ht="20.05" customHeight="1" x14ac:dyDescent="0.3"/>
    <row r="1126" ht="20.05" customHeight="1" x14ac:dyDescent="0.3"/>
    <row r="1127" ht="20.05" customHeight="1" x14ac:dyDescent="0.3"/>
    <row r="1128" ht="20.05" customHeight="1" x14ac:dyDescent="0.3"/>
    <row r="1129" ht="20.05" customHeight="1" x14ac:dyDescent="0.3"/>
    <row r="1130" ht="20.05" customHeight="1" x14ac:dyDescent="0.3"/>
    <row r="1131" ht="20.05" customHeight="1" x14ac:dyDescent="0.3"/>
    <row r="1132" ht="20.05" customHeight="1" x14ac:dyDescent="0.3"/>
    <row r="1133" ht="20.05" customHeight="1" x14ac:dyDescent="0.3"/>
    <row r="1134" ht="20.05" customHeight="1" x14ac:dyDescent="0.3"/>
    <row r="1135" ht="20.05" customHeight="1" x14ac:dyDescent="0.3"/>
    <row r="1136" ht="20.05" customHeight="1" x14ac:dyDescent="0.3"/>
    <row r="1137" ht="20.05" customHeight="1" x14ac:dyDescent="0.3"/>
    <row r="1138" ht="20.05" customHeight="1" x14ac:dyDescent="0.3"/>
    <row r="1139" ht="20.05" customHeight="1" x14ac:dyDescent="0.3"/>
    <row r="1140" ht="20.05" customHeight="1" x14ac:dyDescent="0.3"/>
    <row r="1141" ht="20.05" customHeight="1" x14ac:dyDescent="0.3"/>
    <row r="1142" ht="20.05" customHeight="1" x14ac:dyDescent="0.3"/>
    <row r="1143" ht="20.05" customHeight="1" x14ac:dyDescent="0.3"/>
    <row r="1144" ht="20.05" customHeight="1" x14ac:dyDescent="0.3"/>
    <row r="1145" ht="20.05" customHeight="1" x14ac:dyDescent="0.3"/>
    <row r="1146" ht="20.05" customHeight="1" x14ac:dyDescent="0.3"/>
    <row r="1147" ht="20.05" customHeight="1" x14ac:dyDescent="0.3"/>
    <row r="1148" ht="20.05" customHeight="1" x14ac:dyDescent="0.3"/>
    <row r="1149" ht="20.05" customHeight="1" x14ac:dyDescent="0.3"/>
    <row r="1150" ht="20.05" customHeight="1" x14ac:dyDescent="0.3"/>
    <row r="1151" ht="20.05" customHeight="1" x14ac:dyDescent="0.3"/>
    <row r="1152" ht="20.05" customHeight="1" x14ac:dyDescent="0.3"/>
    <row r="1153" ht="20.05" customHeight="1" x14ac:dyDescent="0.3"/>
    <row r="1154" ht="20.05" customHeight="1" x14ac:dyDescent="0.3"/>
    <row r="1155" ht="20.05" customHeight="1" x14ac:dyDescent="0.3"/>
    <row r="1156" ht="20.05" customHeight="1" x14ac:dyDescent="0.3"/>
    <row r="1157" ht="20.05" customHeight="1" x14ac:dyDescent="0.3"/>
    <row r="1158" ht="20.05" customHeight="1" x14ac:dyDescent="0.3"/>
    <row r="1159" ht="20.05" customHeight="1" x14ac:dyDescent="0.3"/>
    <row r="1160" ht="20.05" customHeight="1" x14ac:dyDescent="0.3"/>
    <row r="1161" ht="20.05" customHeight="1" x14ac:dyDescent="0.3"/>
    <row r="1162" ht="20.05" customHeight="1" x14ac:dyDescent="0.3"/>
    <row r="1163" ht="20.05" customHeight="1" x14ac:dyDescent="0.3"/>
    <row r="1164" ht="20.05" customHeight="1" x14ac:dyDescent="0.3"/>
    <row r="1165" ht="20.05" customHeight="1" x14ac:dyDescent="0.3"/>
    <row r="1166" ht="20.05" customHeight="1" x14ac:dyDescent="0.3"/>
    <row r="1167" ht="20.05" customHeight="1" x14ac:dyDescent="0.3"/>
    <row r="1168" ht="20.05" customHeight="1" x14ac:dyDescent="0.3"/>
    <row r="1169" ht="20.05" customHeight="1" x14ac:dyDescent="0.3"/>
    <row r="1170" ht="20.05" customHeight="1" x14ac:dyDescent="0.3"/>
    <row r="1171" ht="20.05" customHeight="1" x14ac:dyDescent="0.3"/>
    <row r="1172" ht="20.05" customHeight="1" x14ac:dyDescent="0.3"/>
    <row r="1173" ht="20.05" customHeight="1" x14ac:dyDescent="0.3"/>
    <row r="1174" ht="20.05" customHeight="1" x14ac:dyDescent="0.3"/>
    <row r="1175" ht="20.05" customHeight="1" x14ac:dyDescent="0.3"/>
    <row r="1176" ht="20.05" customHeight="1" x14ac:dyDescent="0.3"/>
    <row r="1177" ht="20.05" customHeight="1" x14ac:dyDescent="0.3"/>
    <row r="1178" ht="20.05" customHeight="1" x14ac:dyDescent="0.3"/>
    <row r="1179" ht="20.05" customHeight="1" x14ac:dyDescent="0.3"/>
    <row r="1180" ht="20.05" customHeight="1" x14ac:dyDescent="0.3"/>
    <row r="1181" ht="20.05" customHeight="1" x14ac:dyDescent="0.3"/>
    <row r="1182" ht="20.05" customHeight="1" x14ac:dyDescent="0.3"/>
    <row r="1183" ht="20.05" customHeight="1" x14ac:dyDescent="0.3"/>
    <row r="1184" ht="20.05" customHeight="1" x14ac:dyDescent="0.3"/>
    <row r="1185" ht="20.05" customHeight="1" x14ac:dyDescent="0.3"/>
    <row r="1186" ht="20.05" customHeight="1" x14ac:dyDescent="0.3"/>
    <row r="1187" ht="20.05" customHeight="1" x14ac:dyDescent="0.3"/>
    <row r="1188" ht="20.05" customHeight="1" x14ac:dyDescent="0.3"/>
    <row r="1189" ht="20.05" customHeight="1" x14ac:dyDescent="0.3"/>
    <row r="1190" ht="20.05" customHeight="1" x14ac:dyDescent="0.3"/>
    <row r="1191" ht="20.05" customHeight="1" x14ac:dyDescent="0.3"/>
    <row r="1192" ht="20.05" customHeight="1" x14ac:dyDescent="0.3"/>
    <row r="1193" ht="20.05" customHeight="1" x14ac:dyDescent="0.3"/>
    <row r="1194" ht="20.05" customHeight="1" x14ac:dyDescent="0.3"/>
    <row r="1195" ht="20.05" customHeight="1" x14ac:dyDescent="0.3"/>
    <row r="1196" ht="20.05" customHeight="1" x14ac:dyDescent="0.3"/>
    <row r="1197" ht="20.05" customHeight="1" x14ac:dyDescent="0.3"/>
    <row r="1198" ht="20.05" customHeight="1" x14ac:dyDescent="0.3"/>
    <row r="1199" ht="20.05" customHeight="1" x14ac:dyDescent="0.3"/>
    <row r="1200" ht="20.05" customHeight="1" x14ac:dyDescent="0.3"/>
    <row r="1201" ht="20.05" customHeight="1" x14ac:dyDescent="0.3"/>
    <row r="1202" ht="20.05" customHeight="1" x14ac:dyDescent="0.3"/>
    <row r="1203" ht="20.05" customHeight="1" x14ac:dyDescent="0.3"/>
    <row r="1204" ht="20.05" customHeight="1" x14ac:dyDescent="0.3"/>
    <row r="1205" ht="20.05" customHeight="1" x14ac:dyDescent="0.3"/>
    <row r="1206" ht="20.05" customHeight="1" x14ac:dyDescent="0.3"/>
    <row r="1207" ht="20.05" customHeight="1" x14ac:dyDescent="0.3"/>
    <row r="1208" ht="20.05" customHeight="1" x14ac:dyDescent="0.3"/>
    <row r="1209" ht="20.05" customHeight="1" x14ac:dyDescent="0.3"/>
    <row r="1210" ht="20.05" customHeight="1" x14ac:dyDescent="0.3"/>
    <row r="1211" ht="20.05" customHeight="1" x14ac:dyDescent="0.3"/>
    <row r="1212" ht="20.05" customHeight="1" x14ac:dyDescent="0.3"/>
    <row r="1213" ht="20.05" customHeight="1" x14ac:dyDescent="0.3"/>
    <row r="1214" ht="20.05" customHeight="1" x14ac:dyDescent="0.3"/>
    <row r="1215" ht="20.05" customHeight="1" x14ac:dyDescent="0.3"/>
    <row r="1216" ht="20.05" customHeight="1" x14ac:dyDescent="0.3"/>
    <row r="1217" ht="20.05" customHeight="1" x14ac:dyDescent="0.3"/>
    <row r="1218" ht="20.05" customHeight="1" x14ac:dyDescent="0.3"/>
    <row r="1219" ht="20.05" customHeight="1" x14ac:dyDescent="0.3"/>
    <row r="1220" ht="20.05" customHeight="1" x14ac:dyDescent="0.3"/>
    <row r="1221" ht="20.05" customHeight="1" x14ac:dyDescent="0.3"/>
    <row r="1222" ht="20.05" customHeight="1" x14ac:dyDescent="0.3"/>
    <row r="1223" ht="20.05" customHeight="1" x14ac:dyDescent="0.3"/>
    <row r="1224" ht="20.05" customHeight="1" x14ac:dyDescent="0.3"/>
    <row r="1225" ht="20.05" customHeight="1" x14ac:dyDescent="0.3"/>
    <row r="1226" ht="20.05" customHeight="1" x14ac:dyDescent="0.3"/>
    <row r="1227" ht="20.05" customHeight="1" x14ac:dyDescent="0.3"/>
    <row r="1228" ht="20.05" customHeight="1" x14ac:dyDescent="0.3"/>
    <row r="1229" ht="20.05" customHeight="1" x14ac:dyDescent="0.3"/>
    <row r="1230" ht="20.05" customHeight="1" x14ac:dyDescent="0.3"/>
    <row r="1231" ht="20.05" customHeight="1" x14ac:dyDescent="0.3"/>
    <row r="1232" ht="20.05" customHeight="1" x14ac:dyDescent="0.3"/>
    <row r="1233" ht="20.05" customHeight="1" x14ac:dyDescent="0.3"/>
    <row r="1234" ht="20.05" customHeight="1" x14ac:dyDescent="0.3"/>
    <row r="1235" ht="20.05" customHeight="1" x14ac:dyDescent="0.3"/>
    <row r="1236" ht="20.05" customHeight="1" x14ac:dyDescent="0.3"/>
    <row r="1237" ht="20.05" customHeight="1" x14ac:dyDescent="0.3"/>
    <row r="1238" ht="20.05" customHeight="1" x14ac:dyDescent="0.3"/>
    <row r="1239" ht="20.05" customHeight="1" x14ac:dyDescent="0.3"/>
    <row r="1240" ht="20.05" customHeight="1" x14ac:dyDescent="0.3"/>
    <row r="1241" ht="20.05" customHeight="1" x14ac:dyDescent="0.3"/>
    <row r="1242" ht="20.05" customHeight="1" x14ac:dyDescent="0.3"/>
    <row r="1243" ht="20.05" customHeight="1" x14ac:dyDescent="0.3"/>
    <row r="1244" ht="20.05" customHeight="1" x14ac:dyDescent="0.3"/>
    <row r="1245" ht="20.05" customHeight="1" x14ac:dyDescent="0.3"/>
    <row r="1246" ht="20.05" customHeight="1" x14ac:dyDescent="0.3"/>
    <row r="1247" ht="20.05" customHeight="1" x14ac:dyDescent="0.3"/>
    <row r="1248" ht="20.05" customHeight="1" x14ac:dyDescent="0.3"/>
    <row r="1249" ht="20.05" customHeight="1" x14ac:dyDescent="0.3"/>
    <row r="1250" ht="20.05" customHeight="1" x14ac:dyDescent="0.3"/>
    <row r="1251" ht="20.05" customHeight="1" x14ac:dyDescent="0.3"/>
    <row r="1252" ht="20.05" customHeight="1" x14ac:dyDescent="0.3"/>
    <row r="1253" ht="20.05" customHeight="1" x14ac:dyDescent="0.3"/>
    <row r="1254" ht="20.05" customHeight="1" x14ac:dyDescent="0.3"/>
    <row r="1255" ht="20.05" customHeight="1" x14ac:dyDescent="0.3"/>
    <row r="1256" ht="20.05" customHeight="1" x14ac:dyDescent="0.3"/>
    <row r="1257" ht="20.05" customHeight="1" x14ac:dyDescent="0.3"/>
    <row r="1258" ht="20.05" customHeight="1" x14ac:dyDescent="0.3"/>
    <row r="1259" ht="20.05" customHeight="1" x14ac:dyDescent="0.3"/>
    <row r="1260" ht="20.05" customHeight="1" x14ac:dyDescent="0.3"/>
    <row r="1261" ht="20.05" customHeight="1" x14ac:dyDescent="0.3"/>
    <row r="1262" ht="20.05" customHeight="1" x14ac:dyDescent="0.3"/>
    <row r="1263" ht="20.05" customHeight="1" x14ac:dyDescent="0.3"/>
    <row r="1264" ht="20.05" customHeight="1" x14ac:dyDescent="0.3"/>
    <row r="1265" ht="20.05" customHeight="1" x14ac:dyDescent="0.3"/>
    <row r="1266" ht="20.05" customHeight="1" x14ac:dyDescent="0.3"/>
    <row r="1267" ht="20.05" customHeight="1" x14ac:dyDescent="0.3"/>
    <row r="1268" ht="20.05" customHeight="1" x14ac:dyDescent="0.3"/>
    <row r="1269" ht="20.05" customHeight="1" x14ac:dyDescent="0.3"/>
    <row r="1270" ht="20.05" customHeight="1" x14ac:dyDescent="0.3"/>
    <row r="1271" ht="20.05" customHeight="1" x14ac:dyDescent="0.3"/>
    <row r="1272" ht="20.05" customHeight="1" x14ac:dyDescent="0.3"/>
    <row r="1273" ht="20.05" customHeight="1" x14ac:dyDescent="0.3"/>
    <row r="1274" ht="20.05" customHeight="1" x14ac:dyDescent="0.3"/>
    <row r="1275" ht="20.05" customHeight="1" x14ac:dyDescent="0.3"/>
    <row r="1276" ht="20.05" customHeight="1" x14ac:dyDescent="0.3"/>
    <row r="1277" ht="20.05" customHeight="1" x14ac:dyDescent="0.3"/>
    <row r="1278" ht="20.05" customHeight="1" x14ac:dyDescent="0.3"/>
    <row r="1279" ht="20.05" customHeight="1" x14ac:dyDescent="0.3"/>
    <row r="1280" ht="20.05" customHeight="1" x14ac:dyDescent="0.3"/>
    <row r="1281" ht="20.05" customHeight="1" x14ac:dyDescent="0.3"/>
    <row r="1282" ht="20.05" customHeight="1" x14ac:dyDescent="0.3"/>
    <row r="1283" ht="20.05" customHeight="1" x14ac:dyDescent="0.3"/>
    <row r="1284" ht="20.05" customHeight="1" x14ac:dyDescent="0.3"/>
    <row r="1285" ht="20.05" customHeight="1" x14ac:dyDescent="0.3"/>
    <row r="1286" ht="20.05" customHeight="1" x14ac:dyDescent="0.3"/>
    <row r="1287" ht="20.05" customHeight="1" x14ac:dyDescent="0.3"/>
    <row r="1288" ht="20.05" customHeight="1" x14ac:dyDescent="0.3"/>
    <row r="1289" ht="20.05" customHeight="1" x14ac:dyDescent="0.3"/>
    <row r="1290" ht="20.05" customHeight="1" x14ac:dyDescent="0.3"/>
    <row r="1291" ht="20.05" customHeight="1" x14ac:dyDescent="0.3"/>
    <row r="1292" ht="20.05" customHeight="1" x14ac:dyDescent="0.3"/>
    <row r="1293" ht="20.05" customHeight="1" x14ac:dyDescent="0.3"/>
    <row r="1294" ht="20.05" customHeight="1" x14ac:dyDescent="0.3"/>
    <row r="1295" ht="20.05" customHeight="1" x14ac:dyDescent="0.3"/>
    <row r="1296" ht="20.05" customHeight="1" x14ac:dyDescent="0.3"/>
    <row r="1297" ht="20.05" customHeight="1" x14ac:dyDescent="0.3"/>
    <row r="1298" ht="20.05" customHeight="1" x14ac:dyDescent="0.3"/>
    <row r="1299" ht="20.05" customHeight="1" x14ac:dyDescent="0.3"/>
    <row r="1300" ht="20.05" customHeight="1" x14ac:dyDescent="0.3"/>
    <row r="1301" ht="20.05" customHeight="1" x14ac:dyDescent="0.3"/>
    <row r="1302" ht="20.05" customHeight="1" x14ac:dyDescent="0.3"/>
    <row r="1303" ht="20.05" customHeight="1" x14ac:dyDescent="0.3"/>
    <row r="1304" ht="20.05" customHeight="1" x14ac:dyDescent="0.3"/>
    <row r="1305" ht="20.05" customHeight="1" x14ac:dyDescent="0.3"/>
    <row r="1306" ht="20.05" customHeight="1" x14ac:dyDescent="0.3"/>
    <row r="1307" ht="20.05" customHeight="1" x14ac:dyDescent="0.3"/>
    <row r="1308" ht="20.05" customHeight="1" x14ac:dyDescent="0.3"/>
    <row r="1309" ht="20.05" customHeight="1" x14ac:dyDescent="0.3"/>
    <row r="1310" ht="20.05" customHeight="1" x14ac:dyDescent="0.3"/>
    <row r="1311" ht="20.05" customHeight="1" x14ac:dyDescent="0.3"/>
    <row r="1312" ht="20.05" customHeight="1" x14ac:dyDescent="0.3"/>
    <row r="1313" ht="20.05" customHeight="1" x14ac:dyDescent="0.3"/>
    <row r="1314" ht="20.05" customHeight="1" x14ac:dyDescent="0.3"/>
    <row r="1315" ht="20.05" customHeight="1" x14ac:dyDescent="0.3"/>
    <row r="1316" ht="20.05" customHeight="1" x14ac:dyDescent="0.3"/>
    <row r="1317" ht="20.05" customHeight="1" x14ac:dyDescent="0.3"/>
    <row r="1318" ht="20.05" customHeight="1" x14ac:dyDescent="0.3"/>
    <row r="1319" ht="20.05" customHeight="1" x14ac:dyDescent="0.3"/>
    <row r="1320" ht="20.05" customHeight="1" x14ac:dyDescent="0.3"/>
    <row r="1321" ht="20.05" customHeight="1" x14ac:dyDescent="0.3"/>
    <row r="1322" ht="20.05" customHeight="1" x14ac:dyDescent="0.3"/>
    <row r="1323" ht="20.05" customHeight="1" x14ac:dyDescent="0.3"/>
    <row r="1324" ht="20.05" customHeight="1" x14ac:dyDescent="0.3"/>
    <row r="1325" ht="20.05" customHeight="1" x14ac:dyDescent="0.3"/>
    <row r="1326" ht="20.05" customHeight="1" x14ac:dyDescent="0.3"/>
    <row r="1327" ht="20.05" customHeight="1" x14ac:dyDescent="0.3"/>
    <row r="1328" ht="20.05" customHeight="1" x14ac:dyDescent="0.3"/>
    <row r="1329" ht="20.05" customHeight="1" x14ac:dyDescent="0.3"/>
    <row r="1330" ht="20.05" customHeight="1" x14ac:dyDescent="0.3"/>
    <row r="1331" ht="20.05" customHeight="1" x14ac:dyDescent="0.3"/>
    <row r="1332" ht="20.05" customHeight="1" x14ac:dyDescent="0.3"/>
    <row r="1333" ht="20.05" customHeight="1" x14ac:dyDescent="0.3"/>
    <row r="1334" ht="20.05" customHeight="1" x14ac:dyDescent="0.3"/>
    <row r="1335" ht="20.05" customHeight="1" x14ac:dyDescent="0.3"/>
    <row r="1336" ht="20.05" customHeight="1" x14ac:dyDescent="0.3"/>
    <row r="1337" ht="20.05" customHeight="1" x14ac:dyDescent="0.3"/>
    <row r="1338" ht="20.05" customHeight="1" x14ac:dyDescent="0.3"/>
    <row r="1339" ht="20.05" customHeight="1" x14ac:dyDescent="0.3"/>
    <row r="1340" ht="20.05" customHeight="1" x14ac:dyDescent="0.3"/>
    <row r="1341" ht="20.05" customHeight="1" x14ac:dyDescent="0.3"/>
    <row r="1342" ht="20.05" customHeight="1" x14ac:dyDescent="0.3"/>
    <row r="1343" ht="20.05" customHeight="1" x14ac:dyDescent="0.3"/>
    <row r="1344" ht="20.05" customHeight="1" x14ac:dyDescent="0.3"/>
    <row r="1345" ht="20.05" customHeight="1" x14ac:dyDescent="0.3"/>
    <row r="1346" ht="20.05" customHeight="1" x14ac:dyDescent="0.3"/>
    <row r="1347" ht="20.05" customHeight="1" x14ac:dyDescent="0.3"/>
    <row r="1348" ht="20.05" customHeight="1" x14ac:dyDescent="0.3"/>
    <row r="1349" ht="20.05" customHeight="1" x14ac:dyDescent="0.3"/>
    <row r="1350" ht="20.05" customHeight="1" x14ac:dyDescent="0.3"/>
    <row r="1351" ht="20.05" customHeight="1" x14ac:dyDescent="0.3"/>
    <row r="1352" ht="20.05" customHeight="1" x14ac:dyDescent="0.3"/>
    <row r="1353" ht="20.05" customHeight="1" x14ac:dyDescent="0.3"/>
    <row r="1354" ht="20.05" customHeight="1" x14ac:dyDescent="0.3"/>
    <row r="1355" ht="20.05" customHeight="1" x14ac:dyDescent="0.3"/>
    <row r="1356" ht="20.05" customHeight="1" x14ac:dyDescent="0.3"/>
    <row r="1357" ht="20.05" customHeight="1" x14ac:dyDescent="0.3"/>
    <row r="1358" ht="20.05" customHeight="1" x14ac:dyDescent="0.3"/>
    <row r="1359" ht="20.05" customHeight="1" x14ac:dyDescent="0.3"/>
    <row r="1360" ht="20.05" customHeight="1" x14ac:dyDescent="0.3"/>
    <row r="1361" ht="20.05" customHeight="1" x14ac:dyDescent="0.3"/>
    <row r="1362" ht="20.05" customHeight="1" x14ac:dyDescent="0.3"/>
    <row r="1363" ht="20.05" customHeight="1" x14ac:dyDescent="0.3"/>
    <row r="1364" ht="20.05" customHeight="1" x14ac:dyDescent="0.3"/>
    <row r="1365" ht="20.05" customHeight="1" x14ac:dyDescent="0.3"/>
    <row r="1366" ht="20.05" customHeight="1" x14ac:dyDescent="0.3"/>
    <row r="1367" ht="20.05" customHeight="1" x14ac:dyDescent="0.3"/>
    <row r="1368" ht="20.05" customHeight="1" x14ac:dyDescent="0.3"/>
    <row r="1369" ht="20.05" customHeight="1" x14ac:dyDescent="0.3"/>
    <row r="1370" ht="20.05" customHeight="1" x14ac:dyDescent="0.3"/>
    <row r="1371" ht="20.05" customHeight="1" x14ac:dyDescent="0.3"/>
    <row r="1372" ht="20.05" customHeight="1" x14ac:dyDescent="0.3"/>
    <row r="1373" ht="20.05" customHeight="1" x14ac:dyDescent="0.3"/>
    <row r="1374" ht="20.05" customHeight="1" x14ac:dyDescent="0.3"/>
    <row r="1375" ht="20.05" customHeight="1" x14ac:dyDescent="0.3"/>
    <row r="1376" ht="20.05" customHeight="1" x14ac:dyDescent="0.3"/>
    <row r="1377" ht="20.05" customHeight="1" x14ac:dyDescent="0.3"/>
    <row r="1378" ht="20.05" customHeight="1" x14ac:dyDescent="0.3"/>
    <row r="1379" ht="20.05" customHeight="1" x14ac:dyDescent="0.3"/>
    <row r="1380" ht="20.05" customHeight="1" x14ac:dyDescent="0.3"/>
    <row r="1381" ht="20.05" customHeight="1" x14ac:dyDescent="0.3"/>
    <row r="1382" ht="20.05" customHeight="1" x14ac:dyDescent="0.3"/>
    <row r="1383" ht="20.05" customHeight="1" x14ac:dyDescent="0.3"/>
    <row r="1384" ht="20.05" customHeight="1" x14ac:dyDescent="0.3"/>
    <row r="1385" ht="20.05" customHeight="1" x14ac:dyDescent="0.3"/>
    <row r="1386" ht="20.05" customHeight="1" x14ac:dyDescent="0.3"/>
    <row r="1387" ht="20.05" customHeight="1" x14ac:dyDescent="0.3"/>
    <row r="1388" ht="20.05" customHeight="1" x14ac:dyDescent="0.3"/>
    <row r="1389" ht="20.05" customHeight="1" x14ac:dyDescent="0.3"/>
    <row r="1390" ht="20.05" customHeight="1" x14ac:dyDescent="0.3"/>
    <row r="1391" ht="20.05" customHeight="1" x14ac:dyDescent="0.3"/>
    <row r="1392" ht="20.05" customHeight="1" x14ac:dyDescent="0.3"/>
    <row r="1393" ht="20.05" customHeight="1" x14ac:dyDescent="0.3"/>
    <row r="1394" ht="20.05" customHeight="1" x14ac:dyDescent="0.3"/>
    <row r="1395" ht="20.05" customHeight="1" x14ac:dyDescent="0.3"/>
    <row r="1396" ht="20.05" customHeight="1" x14ac:dyDescent="0.3"/>
    <row r="1397" ht="20.05" customHeight="1" x14ac:dyDescent="0.3"/>
    <row r="1398" ht="20.05" customHeight="1" x14ac:dyDescent="0.3"/>
    <row r="1399" ht="20.05" customHeight="1" x14ac:dyDescent="0.3"/>
    <row r="1400" ht="20.05" customHeight="1" x14ac:dyDescent="0.3"/>
    <row r="1401" ht="20.05" customHeight="1" x14ac:dyDescent="0.3"/>
    <row r="1402" ht="20.05" customHeight="1" x14ac:dyDescent="0.3"/>
    <row r="1403" ht="20.05" customHeight="1" x14ac:dyDescent="0.3"/>
    <row r="1404" ht="20.05" customHeight="1" x14ac:dyDescent="0.3"/>
    <row r="1405" ht="20.05" customHeight="1" x14ac:dyDescent="0.3"/>
    <row r="1406" ht="20.05" customHeight="1" x14ac:dyDescent="0.3"/>
    <row r="1407" ht="20.05" customHeight="1" x14ac:dyDescent="0.3"/>
    <row r="1408" ht="20.05" customHeight="1" x14ac:dyDescent="0.3"/>
    <row r="1409" ht="20.05" customHeight="1" x14ac:dyDescent="0.3"/>
    <row r="1410" ht="20.05" customHeight="1" x14ac:dyDescent="0.3"/>
    <row r="1411" ht="20.05" customHeight="1" x14ac:dyDescent="0.3"/>
    <row r="1412" ht="20.05" customHeight="1" x14ac:dyDescent="0.3"/>
    <row r="1413" ht="20.05" customHeight="1" x14ac:dyDescent="0.3"/>
    <row r="1414" ht="20.05" customHeight="1" x14ac:dyDescent="0.3"/>
    <row r="1415" ht="20.05" customHeight="1" x14ac:dyDescent="0.3"/>
    <row r="1416" ht="20.05" customHeight="1" x14ac:dyDescent="0.3"/>
    <row r="1417" ht="20.05" customHeight="1" x14ac:dyDescent="0.3"/>
    <row r="1418" ht="20.05" customHeight="1" x14ac:dyDescent="0.3"/>
    <row r="1419" ht="20.05" customHeight="1" x14ac:dyDescent="0.3"/>
    <row r="1420" ht="20.05" customHeight="1" x14ac:dyDescent="0.3"/>
    <row r="1421" ht="20.05" customHeight="1" x14ac:dyDescent="0.3"/>
    <row r="1422" ht="20.05" customHeight="1" x14ac:dyDescent="0.3"/>
    <row r="1423" ht="20.05" customHeight="1" x14ac:dyDescent="0.3"/>
    <row r="1424" ht="20.05" customHeight="1" x14ac:dyDescent="0.3"/>
    <row r="1425" ht="20.05" customHeight="1" x14ac:dyDescent="0.3"/>
    <row r="1426" ht="20.05" customHeight="1" x14ac:dyDescent="0.3"/>
    <row r="1427" ht="20.05" customHeight="1" x14ac:dyDescent="0.3"/>
    <row r="1428" ht="20.05" customHeight="1" x14ac:dyDescent="0.3"/>
    <row r="1429" ht="20.05" customHeight="1" x14ac:dyDescent="0.3"/>
    <row r="1430" ht="20.05" customHeight="1" x14ac:dyDescent="0.3"/>
    <row r="1431" ht="20.05" customHeight="1" x14ac:dyDescent="0.3"/>
    <row r="1432" ht="20.05" customHeight="1" x14ac:dyDescent="0.3"/>
    <row r="1433" ht="20.05" customHeight="1" x14ac:dyDescent="0.3"/>
    <row r="1434" ht="20.05" customHeight="1" x14ac:dyDescent="0.3"/>
    <row r="1435" ht="20.05" customHeight="1" x14ac:dyDescent="0.3"/>
    <row r="1436" ht="20.05" customHeight="1" x14ac:dyDescent="0.3"/>
    <row r="1437" ht="20.05" customHeight="1" x14ac:dyDescent="0.3"/>
    <row r="1438" ht="20.05" customHeight="1" x14ac:dyDescent="0.3"/>
    <row r="1439" ht="20.05" customHeight="1" x14ac:dyDescent="0.3"/>
    <row r="1440" ht="20.05" customHeight="1" x14ac:dyDescent="0.3"/>
    <row r="1441" ht="20.05" customHeight="1" x14ac:dyDescent="0.3"/>
    <row r="1442" ht="20.05" customHeight="1" x14ac:dyDescent="0.3"/>
    <row r="1443" ht="20.05" customHeight="1" x14ac:dyDescent="0.3"/>
    <row r="1444" ht="20.05" customHeight="1" x14ac:dyDescent="0.3"/>
    <row r="1445" ht="20.05" customHeight="1" x14ac:dyDescent="0.3"/>
    <row r="1446" ht="20.05" customHeight="1" x14ac:dyDescent="0.3"/>
    <row r="1447" ht="20.05" customHeight="1" x14ac:dyDescent="0.3"/>
    <row r="1448" ht="20.05" customHeight="1" x14ac:dyDescent="0.3"/>
    <row r="1449" ht="20.05" customHeight="1" x14ac:dyDescent="0.3"/>
    <row r="1450" ht="20.05" customHeight="1" x14ac:dyDescent="0.3"/>
    <row r="1451" ht="20.05" customHeight="1" x14ac:dyDescent="0.3"/>
    <row r="1452" ht="20.05" customHeight="1" x14ac:dyDescent="0.3"/>
    <row r="1453" ht="20.05" customHeight="1" x14ac:dyDescent="0.3"/>
    <row r="1454" ht="20.05" customHeight="1" x14ac:dyDescent="0.3"/>
    <row r="1455" ht="20.05" customHeight="1" x14ac:dyDescent="0.3"/>
    <row r="1456" ht="20.05" customHeight="1" x14ac:dyDescent="0.3"/>
    <row r="1457" ht="20.05" customHeight="1" x14ac:dyDescent="0.3"/>
    <row r="1458" ht="20.05" customHeight="1" x14ac:dyDescent="0.3"/>
    <row r="1459" ht="20.05" customHeight="1" x14ac:dyDescent="0.3"/>
    <row r="1460" ht="20.05" customHeight="1" x14ac:dyDescent="0.3"/>
    <row r="1461" ht="20.05" customHeight="1" x14ac:dyDescent="0.3"/>
    <row r="1462" ht="20.05" customHeight="1" x14ac:dyDescent="0.3"/>
    <row r="1463" ht="20.05" customHeight="1" x14ac:dyDescent="0.3"/>
    <row r="1464" ht="20.05" customHeight="1" x14ac:dyDescent="0.3"/>
    <row r="1465" ht="20.05" customHeight="1" x14ac:dyDescent="0.3"/>
    <row r="1466" ht="20.05" customHeight="1" x14ac:dyDescent="0.3"/>
    <row r="1467" ht="20.05" customHeight="1" x14ac:dyDescent="0.3"/>
    <row r="1468" ht="20.05" customHeight="1" x14ac:dyDescent="0.3"/>
    <row r="1469" ht="20.05" customHeight="1" x14ac:dyDescent="0.3"/>
    <row r="1470" ht="20.05" customHeight="1" x14ac:dyDescent="0.3"/>
    <row r="1471" ht="20.05" customHeight="1" x14ac:dyDescent="0.3"/>
    <row r="1472" ht="20.05" customHeight="1" x14ac:dyDescent="0.3"/>
    <row r="1473" ht="20.05" customHeight="1" x14ac:dyDescent="0.3"/>
    <row r="1474" ht="20.05" customHeight="1" x14ac:dyDescent="0.3"/>
    <row r="1475" ht="20.05" customHeight="1" x14ac:dyDescent="0.3"/>
    <row r="1476" ht="20.05" customHeight="1" x14ac:dyDescent="0.3"/>
    <row r="1477" ht="20.05" customHeight="1" x14ac:dyDescent="0.3"/>
    <row r="1478" ht="20.05" customHeight="1" x14ac:dyDescent="0.3"/>
    <row r="1479" ht="20.05" customHeight="1" x14ac:dyDescent="0.3"/>
    <row r="1480" ht="20.05" customHeight="1" x14ac:dyDescent="0.3"/>
    <row r="1481" ht="20.05" customHeight="1" x14ac:dyDescent="0.3"/>
    <row r="1482" ht="20.05" customHeight="1" x14ac:dyDescent="0.3"/>
    <row r="1483" ht="20.05" customHeight="1" x14ac:dyDescent="0.3"/>
    <row r="1484" ht="20.05" customHeight="1" x14ac:dyDescent="0.3"/>
    <row r="1485" ht="20.05" customHeight="1" x14ac:dyDescent="0.3"/>
    <row r="1486" ht="20.05" customHeight="1" x14ac:dyDescent="0.3"/>
    <row r="1487" ht="20.05" customHeight="1" x14ac:dyDescent="0.3"/>
    <row r="1488" ht="20.05" customHeight="1" x14ac:dyDescent="0.3"/>
    <row r="1489" ht="20.05" customHeight="1" x14ac:dyDescent="0.3"/>
    <row r="1490" ht="20.05" customHeight="1" x14ac:dyDescent="0.3"/>
    <row r="1491" ht="20.05" customHeight="1" x14ac:dyDescent="0.3"/>
    <row r="1492" ht="20.05" customHeight="1" x14ac:dyDescent="0.3"/>
    <row r="1493" ht="20.05" customHeight="1" x14ac:dyDescent="0.3"/>
    <row r="1494" ht="20.05" customHeight="1" x14ac:dyDescent="0.3"/>
    <row r="1495" ht="20.05" customHeight="1" x14ac:dyDescent="0.3"/>
    <row r="1496" ht="20.05" customHeight="1" x14ac:dyDescent="0.3"/>
    <row r="1497" ht="20.05" customHeight="1" x14ac:dyDescent="0.3"/>
    <row r="1498" ht="20.05" customHeight="1" x14ac:dyDescent="0.3"/>
    <row r="1499" ht="20.05" customHeight="1" x14ac:dyDescent="0.3"/>
    <row r="1500" ht="20.05" customHeight="1" x14ac:dyDescent="0.3"/>
    <row r="1501" ht="20.05" customHeight="1" x14ac:dyDescent="0.3"/>
    <row r="1502" ht="20.05" customHeight="1" x14ac:dyDescent="0.3"/>
    <row r="1503" ht="20.05" customHeight="1" x14ac:dyDescent="0.3"/>
    <row r="1504" ht="20.05" customHeight="1" x14ac:dyDescent="0.3"/>
    <row r="1505" ht="20.05" customHeight="1" x14ac:dyDescent="0.3"/>
    <row r="1506" ht="20.05" customHeight="1" x14ac:dyDescent="0.3"/>
    <row r="1507" ht="20.05" customHeight="1" x14ac:dyDescent="0.3"/>
    <row r="1508" ht="20.05" customHeight="1" x14ac:dyDescent="0.3"/>
    <row r="1509" ht="20.05" customHeight="1" x14ac:dyDescent="0.3"/>
    <row r="1510" ht="20.05" customHeight="1" x14ac:dyDescent="0.3"/>
    <row r="1511" ht="20.05" customHeight="1" x14ac:dyDescent="0.3"/>
    <row r="1512" ht="20.05" customHeight="1" x14ac:dyDescent="0.3"/>
    <row r="1513" ht="20.05" customHeight="1" x14ac:dyDescent="0.3"/>
    <row r="1514" ht="20.05" customHeight="1" x14ac:dyDescent="0.3"/>
    <row r="1515" ht="20.05" customHeight="1" x14ac:dyDescent="0.3"/>
    <row r="1516" ht="20.05" customHeight="1" x14ac:dyDescent="0.3"/>
    <row r="1517" ht="20.05" customHeight="1" x14ac:dyDescent="0.3"/>
    <row r="1518" ht="20.05" customHeight="1" x14ac:dyDescent="0.3"/>
    <row r="1519" ht="20.05" customHeight="1" x14ac:dyDescent="0.3"/>
    <row r="1520" ht="20.05" customHeight="1" x14ac:dyDescent="0.3"/>
    <row r="1521" ht="20.05" customHeight="1" x14ac:dyDescent="0.3"/>
    <row r="1522" ht="20.05" customHeight="1" x14ac:dyDescent="0.3"/>
    <row r="1523" ht="20.05" customHeight="1" x14ac:dyDescent="0.3"/>
    <row r="1524" ht="20.05" customHeight="1" x14ac:dyDescent="0.3"/>
    <row r="1525" ht="20.05" customHeight="1" x14ac:dyDescent="0.3"/>
    <row r="1526" ht="20.05" customHeight="1" x14ac:dyDescent="0.3"/>
    <row r="1527" ht="20.05" customHeight="1" x14ac:dyDescent="0.3"/>
    <row r="1528" ht="20.05" customHeight="1" x14ac:dyDescent="0.3"/>
    <row r="1529" ht="20.05" customHeight="1" x14ac:dyDescent="0.3"/>
    <row r="1530" ht="20.05" customHeight="1" x14ac:dyDescent="0.3"/>
    <row r="1531" ht="20.05" customHeight="1" x14ac:dyDescent="0.3"/>
    <row r="1532" ht="20.05" customHeight="1" x14ac:dyDescent="0.3"/>
    <row r="1533" ht="20.05" customHeight="1" x14ac:dyDescent="0.3"/>
    <row r="1534" ht="20.05" customHeight="1" x14ac:dyDescent="0.3"/>
    <row r="1535" ht="20.05" customHeight="1" x14ac:dyDescent="0.3"/>
    <row r="1536" ht="20.05" customHeight="1" x14ac:dyDescent="0.3"/>
    <row r="1537" ht="20.05" customHeight="1" x14ac:dyDescent="0.3"/>
    <row r="1538" ht="20.05" customHeight="1" x14ac:dyDescent="0.3"/>
    <row r="1539" ht="20.05" customHeight="1" x14ac:dyDescent="0.3"/>
    <row r="1540" ht="20.05" customHeight="1" x14ac:dyDescent="0.3"/>
    <row r="1541" ht="20.05" customHeight="1" x14ac:dyDescent="0.3"/>
    <row r="1542" ht="20.05" customHeight="1" x14ac:dyDescent="0.3"/>
    <row r="1543" ht="20.05" customHeight="1" x14ac:dyDescent="0.3"/>
    <row r="1544" ht="20.05" customHeight="1" x14ac:dyDescent="0.3"/>
    <row r="1545" ht="20.05" customHeight="1" x14ac:dyDescent="0.3"/>
    <row r="1546" ht="20.05" customHeight="1" x14ac:dyDescent="0.3"/>
    <row r="1547" ht="20.05" customHeight="1" x14ac:dyDescent="0.3"/>
    <row r="1548" ht="20.05" customHeight="1" x14ac:dyDescent="0.3"/>
    <row r="1549" ht="20.05" customHeight="1" x14ac:dyDescent="0.3"/>
    <row r="1550" ht="20.05" customHeight="1" x14ac:dyDescent="0.3"/>
    <row r="1551" ht="20.05" customHeight="1" x14ac:dyDescent="0.3"/>
    <row r="1552" ht="20.05" customHeight="1" x14ac:dyDescent="0.3"/>
    <row r="1553" ht="20.05" customHeight="1" x14ac:dyDescent="0.3"/>
    <row r="1554" ht="20.05" customHeight="1" x14ac:dyDescent="0.3"/>
    <row r="1555" ht="20.05" customHeight="1" x14ac:dyDescent="0.3"/>
    <row r="1556" ht="20.05" customHeight="1" x14ac:dyDescent="0.3"/>
    <row r="1557" ht="20.05" customHeight="1" x14ac:dyDescent="0.3"/>
    <row r="1558" ht="20.05" customHeight="1" x14ac:dyDescent="0.3"/>
    <row r="1559" ht="20.05" customHeight="1" x14ac:dyDescent="0.3"/>
    <row r="1560" ht="20.05" customHeight="1" x14ac:dyDescent="0.3"/>
    <row r="1561" ht="20.05" customHeight="1" x14ac:dyDescent="0.3"/>
    <row r="1562" ht="20.05" customHeight="1" x14ac:dyDescent="0.3"/>
    <row r="1563" ht="20.05" customHeight="1" x14ac:dyDescent="0.3"/>
    <row r="1564" ht="20.05" customHeight="1" x14ac:dyDescent="0.3"/>
    <row r="1565" ht="20.05" customHeight="1" x14ac:dyDescent="0.3"/>
    <row r="1566" ht="20.05" customHeight="1" x14ac:dyDescent="0.3"/>
    <row r="1567" ht="20.05" customHeight="1" x14ac:dyDescent="0.3"/>
    <row r="1568" ht="20.05" customHeight="1" x14ac:dyDescent="0.3"/>
    <row r="1569" ht="20.05" customHeight="1" x14ac:dyDescent="0.3"/>
    <row r="1570" ht="20.05" customHeight="1" x14ac:dyDescent="0.3"/>
    <row r="1571" ht="20.05" customHeight="1" x14ac:dyDescent="0.3"/>
    <row r="1572" ht="20.05" customHeight="1" x14ac:dyDescent="0.3"/>
    <row r="1573" ht="20.05" customHeight="1" x14ac:dyDescent="0.3"/>
    <row r="1574" ht="20.05" customHeight="1" x14ac:dyDescent="0.3"/>
    <row r="1575" ht="20.05" customHeight="1" x14ac:dyDescent="0.3"/>
    <row r="1576" ht="20.05" customHeight="1" x14ac:dyDescent="0.3"/>
    <row r="1577" ht="20.05" customHeight="1" x14ac:dyDescent="0.3"/>
    <row r="1578" ht="20.05" customHeight="1" x14ac:dyDescent="0.3"/>
    <row r="1579" ht="20.05" customHeight="1" x14ac:dyDescent="0.3"/>
    <row r="1580" ht="20.05" customHeight="1" x14ac:dyDescent="0.3"/>
    <row r="1581" ht="20.05" customHeight="1" x14ac:dyDescent="0.3"/>
    <row r="1582" ht="20.05" customHeight="1" x14ac:dyDescent="0.3"/>
    <row r="1583" ht="20.05" customHeight="1" x14ac:dyDescent="0.3"/>
    <row r="1584" ht="20.05" customHeight="1" x14ac:dyDescent="0.3"/>
    <row r="1585" ht="20.05" customHeight="1" x14ac:dyDescent="0.3"/>
    <row r="1586" ht="20.05" customHeight="1" x14ac:dyDescent="0.3"/>
    <row r="1587" ht="20.05" customHeight="1" x14ac:dyDescent="0.3"/>
    <row r="1588" ht="20.05" customHeight="1" x14ac:dyDescent="0.3"/>
    <row r="1589" ht="20.05" customHeight="1" x14ac:dyDescent="0.3"/>
    <row r="1590" ht="20.05" customHeight="1" x14ac:dyDescent="0.3"/>
    <row r="1591" ht="20.05" customHeight="1" x14ac:dyDescent="0.3"/>
    <row r="1592" ht="20.05" customHeight="1" x14ac:dyDescent="0.3"/>
    <row r="1593" ht="20.05" customHeight="1" x14ac:dyDescent="0.3"/>
    <row r="1594" ht="20.05" customHeight="1" x14ac:dyDescent="0.3"/>
    <row r="1595" ht="20.05" customHeight="1" x14ac:dyDescent="0.3"/>
    <row r="1596" ht="20.05" customHeight="1" x14ac:dyDescent="0.3"/>
    <row r="1597" ht="20.05" customHeight="1" x14ac:dyDescent="0.3"/>
    <row r="1598" ht="20.05" customHeight="1" x14ac:dyDescent="0.3"/>
    <row r="1599" ht="20.05" customHeight="1" x14ac:dyDescent="0.3"/>
    <row r="1600" ht="20.05" customHeight="1" x14ac:dyDescent="0.3"/>
    <row r="1601" ht="20.05" customHeight="1" x14ac:dyDescent="0.3"/>
    <row r="1602" ht="20.05" customHeight="1" x14ac:dyDescent="0.3"/>
    <row r="1603" ht="20.05" customHeight="1" x14ac:dyDescent="0.3"/>
    <row r="1604" ht="20.05" customHeight="1" x14ac:dyDescent="0.3"/>
    <row r="1605" ht="20.05" customHeight="1" x14ac:dyDescent="0.3"/>
    <row r="1606" ht="20.05" customHeight="1" x14ac:dyDescent="0.3"/>
    <row r="1607" ht="20.05" customHeight="1" x14ac:dyDescent="0.3"/>
    <row r="1608" ht="20.05" customHeight="1" x14ac:dyDescent="0.3"/>
    <row r="1609" ht="20.05" customHeight="1" x14ac:dyDescent="0.3"/>
    <row r="1610" ht="20.05" customHeight="1" x14ac:dyDescent="0.3"/>
    <row r="1611" ht="20.05" customHeight="1" x14ac:dyDescent="0.3"/>
    <row r="1612" ht="20.05" customHeight="1" x14ac:dyDescent="0.3"/>
    <row r="1613" ht="20.05" customHeight="1" x14ac:dyDescent="0.3"/>
    <row r="1614" ht="20.05" customHeight="1" x14ac:dyDescent="0.3"/>
    <row r="1615" ht="20.05" customHeight="1" x14ac:dyDescent="0.3"/>
    <row r="1616" ht="20.05" customHeight="1" x14ac:dyDescent="0.3"/>
    <row r="1617" ht="20.05" customHeight="1" x14ac:dyDescent="0.3"/>
    <row r="1618" ht="20.05" customHeight="1" x14ac:dyDescent="0.3"/>
    <row r="1619" ht="20.05" customHeight="1" x14ac:dyDescent="0.3"/>
    <row r="1620" ht="20.05" customHeight="1" x14ac:dyDescent="0.3"/>
    <row r="1621" ht="20.05" customHeight="1" x14ac:dyDescent="0.3"/>
    <row r="1622" ht="20.05" customHeight="1" x14ac:dyDescent="0.3"/>
    <row r="1623" ht="20.05" customHeight="1" x14ac:dyDescent="0.3"/>
    <row r="1624" ht="20.05" customHeight="1" x14ac:dyDescent="0.3"/>
    <row r="1625" ht="20.05" customHeight="1" x14ac:dyDescent="0.3"/>
    <row r="1626" ht="20.05" customHeight="1" x14ac:dyDescent="0.3"/>
    <row r="1627" ht="20.05" customHeight="1" x14ac:dyDescent="0.3"/>
    <row r="1628" ht="20.05" customHeight="1" x14ac:dyDescent="0.3"/>
    <row r="1629" ht="20.05" customHeight="1" x14ac:dyDescent="0.3"/>
    <row r="1630" ht="20.05" customHeight="1" x14ac:dyDescent="0.3"/>
    <row r="1631" ht="20.05" customHeight="1" x14ac:dyDescent="0.3"/>
    <row r="1632" ht="20.05" customHeight="1" x14ac:dyDescent="0.3"/>
    <row r="1633" ht="20.05" customHeight="1" x14ac:dyDescent="0.3"/>
    <row r="1634" ht="20.05" customHeight="1" x14ac:dyDescent="0.3"/>
    <row r="1635" ht="20.05" customHeight="1" x14ac:dyDescent="0.3"/>
    <row r="1636" ht="20.05" customHeight="1" x14ac:dyDescent="0.3"/>
    <row r="1637" ht="20.05" customHeight="1" x14ac:dyDescent="0.3"/>
    <row r="1638" ht="20.05" customHeight="1" x14ac:dyDescent="0.3"/>
    <row r="1639" ht="20.05" customHeight="1" x14ac:dyDescent="0.3"/>
    <row r="1640" ht="20.05" customHeight="1" x14ac:dyDescent="0.3"/>
    <row r="1641" ht="20.05" customHeight="1" x14ac:dyDescent="0.3"/>
    <row r="1642" ht="20.05" customHeight="1" x14ac:dyDescent="0.3"/>
    <row r="1643" ht="20.05" customHeight="1" x14ac:dyDescent="0.3"/>
    <row r="1644" ht="20.05" customHeight="1" x14ac:dyDescent="0.3"/>
    <row r="1645" ht="20.05" customHeight="1" x14ac:dyDescent="0.3"/>
    <row r="1646" ht="20.05" customHeight="1" x14ac:dyDescent="0.3"/>
    <row r="1647" ht="20.05" customHeight="1" x14ac:dyDescent="0.3"/>
    <row r="1648" ht="20.05" customHeight="1" x14ac:dyDescent="0.3"/>
    <row r="1649" ht="20.05" customHeight="1" x14ac:dyDescent="0.3"/>
    <row r="1650" ht="20.05" customHeight="1" x14ac:dyDescent="0.3"/>
    <row r="1651" ht="20.05" customHeight="1" x14ac:dyDescent="0.3"/>
    <row r="1652" ht="20.05" customHeight="1" x14ac:dyDescent="0.3"/>
    <row r="1653" ht="20.05" customHeight="1" x14ac:dyDescent="0.3"/>
    <row r="1654" ht="20.05" customHeight="1" x14ac:dyDescent="0.3"/>
    <row r="1655" ht="20.05" customHeight="1" x14ac:dyDescent="0.3"/>
    <row r="1656" ht="20.05" customHeight="1" x14ac:dyDescent="0.3"/>
    <row r="1657" ht="20.05" customHeight="1" x14ac:dyDescent="0.3"/>
    <row r="1658" ht="20.05" customHeight="1" x14ac:dyDescent="0.3"/>
    <row r="1659" ht="20.05" customHeight="1" x14ac:dyDescent="0.3"/>
    <row r="1660" ht="20.05" customHeight="1" x14ac:dyDescent="0.3"/>
    <row r="1661" ht="20.05" customHeight="1" x14ac:dyDescent="0.3"/>
    <row r="1662" ht="20.05" customHeight="1" x14ac:dyDescent="0.3"/>
    <row r="1663" ht="20.05" customHeight="1" x14ac:dyDescent="0.3"/>
    <row r="1664" ht="20.05" customHeight="1" x14ac:dyDescent="0.3"/>
    <row r="1665" ht="20.05" customHeight="1" x14ac:dyDescent="0.3"/>
    <row r="1666" ht="20.05" customHeight="1" x14ac:dyDescent="0.3"/>
    <row r="1667" ht="20.05" customHeight="1" x14ac:dyDescent="0.3"/>
    <row r="1668" ht="20.05" customHeight="1" x14ac:dyDescent="0.3"/>
    <row r="1669" ht="20.05" customHeight="1" x14ac:dyDescent="0.3"/>
    <row r="1670" ht="20.05" customHeight="1" x14ac:dyDescent="0.3"/>
    <row r="1671" ht="20.05" customHeight="1" x14ac:dyDescent="0.3"/>
    <row r="1672" ht="20.05" customHeight="1" x14ac:dyDescent="0.3"/>
    <row r="1673" ht="20.05" customHeight="1" x14ac:dyDescent="0.3"/>
    <row r="1674" ht="20.05" customHeight="1" x14ac:dyDescent="0.3"/>
    <row r="1675" ht="20.05" customHeight="1" x14ac:dyDescent="0.3"/>
    <row r="1676" ht="20.05" customHeight="1" x14ac:dyDescent="0.3"/>
    <row r="1677" ht="20.05" customHeight="1" x14ac:dyDescent="0.3"/>
    <row r="1678" ht="20.05" customHeight="1" x14ac:dyDescent="0.3"/>
    <row r="1679" ht="20.05" customHeight="1" x14ac:dyDescent="0.3"/>
    <row r="1680" ht="20.05" customHeight="1" x14ac:dyDescent="0.3"/>
    <row r="1681" ht="20.05" customHeight="1" x14ac:dyDescent="0.3"/>
    <row r="1682" ht="20.05" customHeight="1" x14ac:dyDescent="0.3"/>
    <row r="1683" ht="20.05" customHeight="1" x14ac:dyDescent="0.3"/>
    <row r="1684" ht="20.05" customHeight="1" x14ac:dyDescent="0.3"/>
    <row r="1685" ht="20.05" customHeight="1" x14ac:dyDescent="0.3"/>
    <row r="1686" ht="20.05" customHeight="1" x14ac:dyDescent="0.3"/>
    <row r="1687" ht="20.05" customHeight="1" x14ac:dyDescent="0.3"/>
    <row r="1688" ht="20.05" customHeight="1" x14ac:dyDescent="0.3"/>
    <row r="1689" ht="20.05" customHeight="1" x14ac:dyDescent="0.3"/>
    <row r="1690" ht="20.05" customHeight="1" x14ac:dyDescent="0.3"/>
    <row r="1691" ht="20.05" customHeight="1" x14ac:dyDescent="0.3"/>
    <row r="1692" ht="20.05" customHeight="1" x14ac:dyDescent="0.3"/>
    <row r="1693" ht="20.05" customHeight="1" x14ac:dyDescent="0.3"/>
    <row r="1694" ht="20.05" customHeight="1" x14ac:dyDescent="0.3"/>
    <row r="1695" ht="20.05" customHeight="1" x14ac:dyDescent="0.3"/>
    <row r="1696" ht="20.05" customHeight="1" x14ac:dyDescent="0.3"/>
    <row r="1697" ht="20.05" customHeight="1" x14ac:dyDescent="0.3"/>
    <row r="1698" ht="20.05" customHeight="1" x14ac:dyDescent="0.3"/>
    <row r="1699" ht="20.05" customHeight="1" x14ac:dyDescent="0.3"/>
    <row r="1700" ht="20.05" customHeight="1" x14ac:dyDescent="0.3"/>
    <row r="1701" ht="20.05" customHeight="1" x14ac:dyDescent="0.3"/>
    <row r="1702" ht="20.05" customHeight="1" x14ac:dyDescent="0.3"/>
    <row r="1703" ht="20.05" customHeight="1" x14ac:dyDescent="0.3"/>
    <row r="1704" ht="20.05" customHeight="1" x14ac:dyDescent="0.3"/>
    <row r="1705" ht="20.05" customHeight="1" x14ac:dyDescent="0.3"/>
    <row r="1706" ht="20.05" customHeight="1" x14ac:dyDescent="0.3"/>
    <row r="1707" ht="20.05" customHeight="1" x14ac:dyDescent="0.3"/>
    <row r="1708" ht="20.05" customHeight="1" x14ac:dyDescent="0.3"/>
    <row r="1709" ht="20.05" customHeight="1" x14ac:dyDescent="0.3"/>
    <row r="1710" ht="20.05" customHeight="1" x14ac:dyDescent="0.3"/>
    <row r="1711" ht="20.05" customHeight="1" x14ac:dyDescent="0.3"/>
    <row r="1712" ht="20.05" customHeight="1" x14ac:dyDescent="0.3"/>
    <row r="1713" ht="20.05" customHeight="1" x14ac:dyDescent="0.3"/>
    <row r="1714" ht="20.05" customHeight="1" x14ac:dyDescent="0.3"/>
    <row r="1715" ht="20.05" customHeight="1" x14ac:dyDescent="0.3"/>
    <row r="1716" ht="20.05" customHeight="1" x14ac:dyDescent="0.3"/>
    <row r="1717" ht="20.05" customHeight="1" x14ac:dyDescent="0.3"/>
    <row r="1718" ht="20.05" customHeight="1" x14ac:dyDescent="0.3"/>
    <row r="1719" ht="20.05" customHeight="1" x14ac:dyDescent="0.3"/>
    <row r="1720" ht="20.05" customHeight="1" x14ac:dyDescent="0.3"/>
    <row r="1721" ht="20.05" customHeight="1" x14ac:dyDescent="0.3"/>
    <row r="1722" ht="20.05" customHeight="1" x14ac:dyDescent="0.3"/>
    <row r="1723" ht="20.05" customHeight="1" x14ac:dyDescent="0.3"/>
    <row r="1724" ht="20.05" customHeight="1" x14ac:dyDescent="0.3"/>
    <row r="1725" ht="20.05" customHeight="1" x14ac:dyDescent="0.3"/>
    <row r="1726" ht="20.05" customHeight="1" x14ac:dyDescent="0.3"/>
    <row r="1727" ht="20.05" customHeight="1" x14ac:dyDescent="0.3"/>
    <row r="1728" ht="20.05" customHeight="1" x14ac:dyDescent="0.3"/>
    <row r="1729" ht="20.05" customHeight="1" x14ac:dyDescent="0.3"/>
    <row r="1730" ht="20.05" customHeight="1" x14ac:dyDescent="0.3"/>
    <row r="1731" ht="20.05" customHeight="1" x14ac:dyDescent="0.3"/>
    <row r="1732" ht="20.05" customHeight="1" x14ac:dyDescent="0.3"/>
    <row r="1733" ht="20.05" customHeight="1" x14ac:dyDescent="0.3"/>
    <row r="1734" ht="20.05" customHeight="1" x14ac:dyDescent="0.3"/>
    <row r="1735" ht="20.05" customHeight="1" x14ac:dyDescent="0.3"/>
    <row r="1736" ht="20.05" customHeight="1" x14ac:dyDescent="0.3"/>
    <row r="1737" ht="20.05" customHeight="1" x14ac:dyDescent="0.3"/>
    <row r="1738" ht="20.05" customHeight="1" x14ac:dyDescent="0.3"/>
    <row r="1739" ht="20.05" customHeight="1" x14ac:dyDescent="0.3"/>
    <row r="1740" ht="20.05" customHeight="1" x14ac:dyDescent="0.3"/>
    <row r="1741" ht="20.05" customHeight="1" x14ac:dyDescent="0.3"/>
    <row r="1742" ht="20.05" customHeight="1" x14ac:dyDescent="0.3"/>
    <row r="1743" ht="20.05" customHeight="1" x14ac:dyDescent="0.3"/>
    <row r="1744" ht="20.05" customHeight="1" x14ac:dyDescent="0.3"/>
    <row r="1745" ht="20.05" customHeight="1" x14ac:dyDescent="0.3"/>
    <row r="1746" ht="20.05" customHeight="1" x14ac:dyDescent="0.3"/>
    <row r="1747" ht="20.05" customHeight="1" x14ac:dyDescent="0.3"/>
    <row r="1748" ht="20.05" customHeight="1" x14ac:dyDescent="0.3"/>
    <row r="1749" ht="20.05" customHeight="1" x14ac:dyDescent="0.3"/>
    <row r="1750" ht="20.05" customHeight="1" x14ac:dyDescent="0.3"/>
    <row r="1751" ht="20.05" customHeight="1" x14ac:dyDescent="0.3"/>
    <row r="1752" ht="20.05" customHeight="1" x14ac:dyDescent="0.3"/>
    <row r="1753" ht="20.05" customHeight="1" x14ac:dyDescent="0.3"/>
    <row r="1754" ht="20.05" customHeight="1" x14ac:dyDescent="0.3"/>
    <row r="1755" ht="20.05" customHeight="1" x14ac:dyDescent="0.3"/>
    <row r="1756" ht="20.05" customHeight="1" x14ac:dyDescent="0.3"/>
    <row r="1757" ht="20.05" customHeight="1" x14ac:dyDescent="0.3"/>
    <row r="1758" ht="20.05" customHeight="1" x14ac:dyDescent="0.3"/>
    <row r="1759" ht="20.05" customHeight="1" x14ac:dyDescent="0.3"/>
    <row r="1760" ht="20.05" customHeight="1" x14ac:dyDescent="0.3"/>
    <row r="1761" ht="20.05" customHeight="1" x14ac:dyDescent="0.3"/>
    <row r="1762" ht="20.05" customHeight="1" x14ac:dyDescent="0.3"/>
    <row r="1763" ht="20.05" customHeight="1" x14ac:dyDescent="0.3"/>
    <row r="1764" ht="20.05" customHeight="1" x14ac:dyDescent="0.3"/>
    <row r="1765" ht="20.05" customHeight="1" x14ac:dyDescent="0.3"/>
    <row r="1766" ht="20.05" customHeight="1" x14ac:dyDescent="0.3"/>
    <row r="1767" ht="20.05" customHeight="1" x14ac:dyDescent="0.3"/>
    <row r="1768" ht="20.05" customHeight="1" x14ac:dyDescent="0.3"/>
    <row r="1769" ht="20.05" customHeight="1" x14ac:dyDescent="0.3"/>
    <row r="1770" ht="20.05" customHeight="1" x14ac:dyDescent="0.3"/>
    <row r="1771" ht="20.05" customHeight="1" x14ac:dyDescent="0.3"/>
    <row r="1772" ht="20.05" customHeight="1" x14ac:dyDescent="0.3"/>
    <row r="1773" ht="20.05" customHeight="1" x14ac:dyDescent="0.3"/>
    <row r="1774" ht="20.05" customHeight="1" x14ac:dyDescent="0.3"/>
    <row r="1775" ht="20.05" customHeight="1" x14ac:dyDescent="0.3"/>
    <row r="1776" ht="20.05" customHeight="1" x14ac:dyDescent="0.3"/>
    <row r="1777" ht="20.05" customHeight="1" x14ac:dyDescent="0.3"/>
    <row r="1778" ht="20.05" customHeight="1" x14ac:dyDescent="0.3"/>
    <row r="1779" ht="20.05" customHeight="1" x14ac:dyDescent="0.3"/>
    <row r="1780" ht="20.05" customHeight="1" x14ac:dyDescent="0.3"/>
    <row r="1781" ht="20.05" customHeight="1" x14ac:dyDescent="0.3"/>
    <row r="1782" ht="20.05" customHeight="1" x14ac:dyDescent="0.3"/>
    <row r="1783" ht="20.05" customHeight="1" x14ac:dyDescent="0.3"/>
    <row r="1784" ht="20.05" customHeight="1" x14ac:dyDescent="0.3"/>
    <row r="1785" ht="20.05" customHeight="1" x14ac:dyDescent="0.3"/>
    <row r="1786" ht="20.05" customHeight="1" x14ac:dyDescent="0.3"/>
    <row r="1787" ht="20.05" customHeight="1" x14ac:dyDescent="0.3"/>
    <row r="1788" ht="20.05" customHeight="1" x14ac:dyDescent="0.3"/>
    <row r="1789" ht="20.05" customHeight="1" x14ac:dyDescent="0.3"/>
    <row r="1790" ht="20.05" customHeight="1" x14ac:dyDescent="0.3"/>
    <row r="1791" ht="20.05" customHeight="1" x14ac:dyDescent="0.3"/>
    <row r="1792" ht="20.05" customHeight="1" x14ac:dyDescent="0.3"/>
    <row r="1793" ht="20.05" customHeight="1" x14ac:dyDescent="0.3"/>
    <row r="1794" ht="20.05" customHeight="1" x14ac:dyDescent="0.3"/>
    <row r="1795" ht="20.05" customHeight="1" x14ac:dyDescent="0.3"/>
    <row r="1796" ht="20.05" customHeight="1" x14ac:dyDescent="0.3"/>
    <row r="1797" ht="20.05" customHeight="1" x14ac:dyDescent="0.3"/>
    <row r="1798" ht="20.05" customHeight="1" x14ac:dyDescent="0.3"/>
    <row r="1799" ht="20.05" customHeight="1" x14ac:dyDescent="0.3"/>
    <row r="1800" ht="20.05" customHeight="1" x14ac:dyDescent="0.3"/>
    <row r="1801" ht="20.05" customHeight="1" x14ac:dyDescent="0.3"/>
    <row r="1802" ht="20.05" customHeight="1" x14ac:dyDescent="0.3"/>
    <row r="1803" ht="20.05" customHeight="1" x14ac:dyDescent="0.3"/>
    <row r="1804" ht="20.05" customHeight="1" x14ac:dyDescent="0.3"/>
    <row r="1805" ht="20.05" customHeight="1" x14ac:dyDescent="0.3"/>
    <row r="1806" ht="20.05" customHeight="1" x14ac:dyDescent="0.3"/>
    <row r="1807" ht="20.05" customHeight="1" x14ac:dyDescent="0.3"/>
    <row r="1808" ht="20.05" customHeight="1" x14ac:dyDescent="0.3"/>
    <row r="1809" ht="20.05" customHeight="1" x14ac:dyDescent="0.3"/>
    <row r="1810" ht="20.05" customHeight="1" x14ac:dyDescent="0.3"/>
    <row r="1811" ht="20.05" customHeight="1" x14ac:dyDescent="0.3"/>
    <row r="1812" ht="20.05" customHeight="1" x14ac:dyDescent="0.3"/>
    <row r="1813" ht="20.05" customHeight="1" x14ac:dyDescent="0.3"/>
    <row r="1814" ht="20.05" customHeight="1" x14ac:dyDescent="0.3"/>
    <row r="1815" ht="20.05" customHeight="1" x14ac:dyDescent="0.3"/>
    <row r="1816" ht="20.05" customHeight="1" x14ac:dyDescent="0.3"/>
    <row r="1817" ht="20.05" customHeight="1" x14ac:dyDescent="0.3"/>
    <row r="1818" ht="20.05" customHeight="1" x14ac:dyDescent="0.3"/>
    <row r="1819" ht="20.05" customHeight="1" x14ac:dyDescent="0.3"/>
    <row r="1820" ht="20.05" customHeight="1" x14ac:dyDescent="0.3"/>
    <row r="1821" ht="20.05" customHeight="1" x14ac:dyDescent="0.3"/>
    <row r="1822" ht="20.05" customHeight="1" x14ac:dyDescent="0.3"/>
    <row r="1823" ht="20.05" customHeight="1" x14ac:dyDescent="0.3"/>
    <row r="1824" ht="20.05" customHeight="1" x14ac:dyDescent="0.3"/>
    <row r="1825" ht="20.05" customHeight="1" x14ac:dyDescent="0.3"/>
    <row r="1826" ht="20.05" customHeight="1" x14ac:dyDescent="0.3"/>
    <row r="1827" ht="20.05" customHeight="1" x14ac:dyDescent="0.3"/>
    <row r="1828" ht="20.05" customHeight="1" x14ac:dyDescent="0.3"/>
    <row r="1829" ht="20.05" customHeight="1" x14ac:dyDescent="0.3"/>
    <row r="1830" ht="20.05" customHeight="1" x14ac:dyDescent="0.3"/>
    <row r="1831" ht="20.05" customHeight="1" x14ac:dyDescent="0.3"/>
    <row r="1832" ht="20.05" customHeight="1" x14ac:dyDescent="0.3"/>
    <row r="1833" ht="20.05" customHeight="1" x14ac:dyDescent="0.3"/>
    <row r="1834" ht="20.05" customHeight="1" x14ac:dyDescent="0.3"/>
    <row r="1835" ht="20.05" customHeight="1" x14ac:dyDescent="0.3"/>
    <row r="1836" ht="20.05" customHeight="1" x14ac:dyDescent="0.3"/>
    <row r="1837" ht="20.05" customHeight="1" x14ac:dyDescent="0.3"/>
    <row r="1838" ht="20.05" customHeight="1" x14ac:dyDescent="0.3"/>
    <row r="1839" ht="20.05" customHeight="1" x14ac:dyDescent="0.3"/>
    <row r="1840" ht="20.05" customHeight="1" x14ac:dyDescent="0.3"/>
    <row r="1841" ht="20.05" customHeight="1" x14ac:dyDescent="0.3"/>
    <row r="1842" ht="20.05" customHeight="1" x14ac:dyDescent="0.3"/>
    <row r="1843" ht="20.05" customHeight="1" x14ac:dyDescent="0.3"/>
    <row r="1844" ht="20.05" customHeight="1" x14ac:dyDescent="0.3"/>
    <row r="1845" ht="20.05" customHeight="1" x14ac:dyDescent="0.3"/>
    <row r="1846" ht="20.05" customHeight="1" x14ac:dyDescent="0.3"/>
    <row r="1847" ht="20.05" customHeight="1" x14ac:dyDescent="0.3"/>
    <row r="1848" ht="20.05" customHeight="1" x14ac:dyDescent="0.3"/>
    <row r="1849" ht="20.05" customHeight="1" x14ac:dyDescent="0.3"/>
    <row r="1850" ht="20.05" customHeight="1" x14ac:dyDescent="0.3"/>
    <row r="1851" ht="20.05" customHeight="1" x14ac:dyDescent="0.3"/>
    <row r="1852" ht="20.05" customHeight="1" x14ac:dyDescent="0.3"/>
    <row r="1853" ht="20.05" customHeight="1" x14ac:dyDescent="0.3"/>
    <row r="1854" ht="20.05" customHeight="1" x14ac:dyDescent="0.3"/>
    <row r="1855" ht="20.05" customHeight="1" x14ac:dyDescent="0.3"/>
    <row r="1856" ht="20.05" customHeight="1" x14ac:dyDescent="0.3"/>
    <row r="1857" ht="20.05" customHeight="1" x14ac:dyDescent="0.3"/>
    <row r="1858" ht="20.05" customHeight="1" x14ac:dyDescent="0.3"/>
    <row r="1859" ht="20.05" customHeight="1" x14ac:dyDescent="0.3"/>
    <row r="1860" ht="20.05" customHeight="1" x14ac:dyDescent="0.3"/>
    <row r="1861" ht="20.05" customHeight="1" x14ac:dyDescent="0.3"/>
    <row r="1862" ht="20.05" customHeight="1" x14ac:dyDescent="0.3"/>
    <row r="1863" ht="20.05" customHeight="1" x14ac:dyDescent="0.3"/>
    <row r="1864" ht="20.05" customHeight="1" x14ac:dyDescent="0.3"/>
    <row r="1865" ht="20.05" customHeight="1" x14ac:dyDescent="0.3"/>
    <row r="1866" ht="20.05" customHeight="1" x14ac:dyDescent="0.3"/>
    <row r="1867" ht="20.05" customHeight="1" x14ac:dyDescent="0.3"/>
    <row r="1868" ht="20.05" customHeight="1" x14ac:dyDescent="0.3"/>
    <row r="1869" ht="20.05" customHeight="1" x14ac:dyDescent="0.3"/>
    <row r="1870" ht="20.05" customHeight="1" x14ac:dyDescent="0.3"/>
    <row r="1871" ht="20.05" customHeight="1" x14ac:dyDescent="0.3"/>
    <row r="1872" ht="20.05" customHeight="1" x14ac:dyDescent="0.3"/>
    <row r="1873" ht="20.05" customHeight="1" x14ac:dyDescent="0.3"/>
    <row r="1874" ht="20.05" customHeight="1" x14ac:dyDescent="0.3"/>
    <row r="1875" ht="20.05" customHeight="1" x14ac:dyDescent="0.3"/>
    <row r="1876" ht="20.05" customHeight="1" x14ac:dyDescent="0.3"/>
    <row r="1877" ht="20.05" customHeight="1" x14ac:dyDescent="0.3"/>
    <row r="1878" ht="20.05" customHeight="1" x14ac:dyDescent="0.3"/>
    <row r="1879" ht="20.05" customHeight="1" x14ac:dyDescent="0.3"/>
    <row r="1880" ht="20.05" customHeight="1" x14ac:dyDescent="0.3"/>
    <row r="1881" ht="20.05" customHeight="1" x14ac:dyDescent="0.3"/>
    <row r="1882" ht="20.05" customHeight="1" x14ac:dyDescent="0.3"/>
    <row r="1883" ht="20.05" customHeight="1" x14ac:dyDescent="0.3"/>
    <row r="1884" ht="20.05" customHeight="1" x14ac:dyDescent="0.3"/>
    <row r="1885" ht="20.05" customHeight="1" x14ac:dyDescent="0.3"/>
    <row r="1886" ht="20.05" customHeight="1" x14ac:dyDescent="0.3"/>
    <row r="1887" ht="20.05" customHeight="1" x14ac:dyDescent="0.3"/>
    <row r="1888" ht="20.05" customHeight="1" x14ac:dyDescent="0.3"/>
    <row r="1889" ht="20.05" customHeight="1" x14ac:dyDescent="0.3"/>
    <row r="1890" ht="20.05" customHeight="1" x14ac:dyDescent="0.3"/>
    <row r="1891" ht="20.05" customHeight="1" x14ac:dyDescent="0.3"/>
    <row r="1892" ht="20.05" customHeight="1" x14ac:dyDescent="0.3"/>
    <row r="1893" ht="20.05" customHeight="1" x14ac:dyDescent="0.3"/>
    <row r="1894" ht="20.05" customHeight="1" x14ac:dyDescent="0.3"/>
    <row r="1895" ht="20.05" customHeight="1" x14ac:dyDescent="0.3"/>
    <row r="1896" ht="20.05" customHeight="1" x14ac:dyDescent="0.3"/>
    <row r="1897" ht="20.05" customHeight="1" x14ac:dyDescent="0.3"/>
    <row r="1898" ht="20.05" customHeight="1" x14ac:dyDescent="0.3"/>
    <row r="1899" ht="20.05" customHeight="1" x14ac:dyDescent="0.3"/>
    <row r="1900" ht="20.05" customHeight="1" x14ac:dyDescent="0.3"/>
    <row r="1901" ht="20.05" customHeight="1" x14ac:dyDescent="0.3"/>
    <row r="1902" ht="20.05" customHeight="1" x14ac:dyDescent="0.3"/>
    <row r="1903" ht="20.05" customHeight="1" x14ac:dyDescent="0.3"/>
    <row r="1904" ht="20.05" customHeight="1" x14ac:dyDescent="0.3"/>
    <row r="1905" ht="20.05" customHeight="1" x14ac:dyDescent="0.3"/>
    <row r="1906" ht="20.05" customHeight="1" x14ac:dyDescent="0.3"/>
    <row r="1907" ht="20.05" customHeight="1" x14ac:dyDescent="0.3"/>
    <row r="1908" ht="20.05" customHeight="1" x14ac:dyDescent="0.3"/>
    <row r="1909" ht="20.05" customHeight="1" x14ac:dyDescent="0.3"/>
    <row r="1910" ht="20.05" customHeight="1" x14ac:dyDescent="0.3"/>
    <row r="1911" ht="20.05" customHeight="1" x14ac:dyDescent="0.3"/>
    <row r="1912" ht="20.05" customHeight="1" x14ac:dyDescent="0.3"/>
    <row r="1913" ht="20.05" customHeight="1" x14ac:dyDescent="0.3"/>
    <row r="1914" ht="20.05" customHeight="1" x14ac:dyDescent="0.3"/>
    <row r="1915" ht="20.05" customHeight="1" x14ac:dyDescent="0.3"/>
    <row r="1916" ht="20.05" customHeight="1" x14ac:dyDescent="0.3"/>
    <row r="1917" ht="20.05" customHeight="1" x14ac:dyDescent="0.3"/>
    <row r="1918" ht="20.05" customHeight="1" x14ac:dyDescent="0.3"/>
    <row r="1919" ht="20.05" customHeight="1" x14ac:dyDescent="0.3"/>
    <row r="1920" ht="20.05" customHeight="1" x14ac:dyDescent="0.3"/>
    <row r="1921" ht="20.05" customHeight="1" x14ac:dyDescent="0.3"/>
    <row r="1922" ht="20.05" customHeight="1" x14ac:dyDescent="0.3"/>
    <row r="1923" ht="20.05" customHeight="1" x14ac:dyDescent="0.3"/>
    <row r="1924" ht="20.05" customHeight="1" x14ac:dyDescent="0.3"/>
    <row r="1925" ht="20.05" customHeight="1" x14ac:dyDescent="0.3"/>
    <row r="1926" ht="20.05" customHeight="1" x14ac:dyDescent="0.3"/>
    <row r="1927" ht="20.05" customHeight="1" x14ac:dyDescent="0.3"/>
    <row r="1928" ht="20.05" customHeight="1" x14ac:dyDescent="0.3"/>
    <row r="1929" ht="20.05" customHeight="1" x14ac:dyDescent="0.3"/>
    <row r="1930" ht="20.05" customHeight="1" x14ac:dyDescent="0.3"/>
    <row r="1931" ht="20.05" customHeight="1" x14ac:dyDescent="0.3"/>
    <row r="1932" ht="20.05" customHeight="1" x14ac:dyDescent="0.3"/>
    <row r="1933" ht="20.05" customHeight="1" x14ac:dyDescent="0.3"/>
    <row r="1934" ht="20.05" customHeight="1" x14ac:dyDescent="0.3"/>
    <row r="1935" ht="20.05" customHeight="1" x14ac:dyDescent="0.3"/>
    <row r="1936" ht="20.05" customHeight="1" x14ac:dyDescent="0.3"/>
    <row r="1937" ht="20.05" customHeight="1" x14ac:dyDescent="0.3"/>
    <row r="1938" ht="20.05" customHeight="1" x14ac:dyDescent="0.3"/>
    <row r="1939" ht="20.05" customHeight="1" x14ac:dyDescent="0.3"/>
    <row r="1940" ht="20.05" customHeight="1" x14ac:dyDescent="0.3"/>
    <row r="1941" ht="20.05" customHeight="1" x14ac:dyDescent="0.3"/>
    <row r="1942" ht="20.05" customHeight="1" x14ac:dyDescent="0.3"/>
    <row r="1943" ht="20.05" customHeight="1" x14ac:dyDescent="0.3"/>
    <row r="1944" ht="20.05" customHeight="1" x14ac:dyDescent="0.3"/>
    <row r="1945" ht="20.05" customHeight="1" x14ac:dyDescent="0.3"/>
    <row r="1946" ht="20.05" customHeight="1" x14ac:dyDescent="0.3"/>
    <row r="1947" ht="20.05" customHeight="1" x14ac:dyDescent="0.3"/>
    <row r="1948" ht="20.05" customHeight="1" x14ac:dyDescent="0.3"/>
    <row r="1949" ht="20.05" customHeight="1" x14ac:dyDescent="0.3"/>
    <row r="1950" ht="20.05" customHeight="1" x14ac:dyDescent="0.3"/>
    <row r="1951" ht="20.05" customHeight="1" x14ac:dyDescent="0.3"/>
    <row r="1952" ht="20.05" customHeight="1" x14ac:dyDescent="0.3"/>
    <row r="1953" ht="20.05" customHeight="1" x14ac:dyDescent="0.3"/>
    <row r="1954" ht="20.05" customHeight="1" x14ac:dyDescent="0.3"/>
    <row r="1955" ht="20.05" customHeight="1" x14ac:dyDescent="0.3"/>
    <row r="1956" ht="20.05" customHeight="1" x14ac:dyDescent="0.3"/>
    <row r="1957" ht="20.05" customHeight="1" x14ac:dyDescent="0.3"/>
    <row r="1958" ht="20.05" customHeight="1" x14ac:dyDescent="0.3"/>
    <row r="1959" ht="20.05" customHeight="1" x14ac:dyDescent="0.3"/>
    <row r="1960" ht="20.05" customHeight="1" x14ac:dyDescent="0.3"/>
    <row r="1961" ht="20.05" customHeight="1" x14ac:dyDescent="0.3"/>
    <row r="1962" ht="20.05" customHeight="1" x14ac:dyDescent="0.3"/>
    <row r="1963" ht="20.05" customHeight="1" x14ac:dyDescent="0.3"/>
    <row r="1964" ht="20.05" customHeight="1" x14ac:dyDescent="0.3"/>
    <row r="1965" ht="20.05" customHeight="1" x14ac:dyDescent="0.3"/>
    <row r="1966" ht="20.05" customHeight="1" x14ac:dyDescent="0.3"/>
    <row r="1967" ht="20.05" customHeight="1" x14ac:dyDescent="0.3"/>
    <row r="1968" ht="20.05" customHeight="1" x14ac:dyDescent="0.3"/>
    <row r="1969" ht="20.05" customHeight="1" x14ac:dyDescent="0.3"/>
    <row r="1970" ht="20.05" customHeight="1" x14ac:dyDescent="0.3"/>
    <row r="1971" ht="20.05" customHeight="1" x14ac:dyDescent="0.3"/>
    <row r="1972" ht="20.05" customHeight="1" x14ac:dyDescent="0.3"/>
    <row r="1973" ht="20.05" customHeight="1" x14ac:dyDescent="0.3"/>
    <row r="1974" ht="20.05" customHeight="1" x14ac:dyDescent="0.3"/>
    <row r="1975" ht="20.05" customHeight="1" x14ac:dyDescent="0.3"/>
    <row r="1976" ht="20.05" customHeight="1" x14ac:dyDescent="0.3"/>
    <row r="1977" ht="20.05" customHeight="1" x14ac:dyDescent="0.3"/>
    <row r="1978" ht="20.05" customHeight="1" x14ac:dyDescent="0.3"/>
    <row r="1979" ht="20.05" customHeight="1" x14ac:dyDescent="0.3"/>
    <row r="1980" ht="20.05" customHeight="1" x14ac:dyDescent="0.3"/>
    <row r="1981" ht="20.05" customHeight="1" x14ac:dyDescent="0.3"/>
    <row r="1982" ht="20.05" customHeight="1" x14ac:dyDescent="0.3"/>
    <row r="1983" ht="20.05" customHeight="1" x14ac:dyDescent="0.3"/>
    <row r="1984" ht="20.05" customHeight="1" x14ac:dyDescent="0.3"/>
    <row r="1985" ht="20.05" customHeight="1" x14ac:dyDescent="0.3"/>
    <row r="1986" ht="20.05" customHeight="1" x14ac:dyDescent="0.3"/>
    <row r="1987" ht="20.05" customHeight="1" x14ac:dyDescent="0.3"/>
    <row r="1988" ht="20.05" customHeight="1" x14ac:dyDescent="0.3"/>
    <row r="1989" ht="20.05" customHeight="1" x14ac:dyDescent="0.3"/>
    <row r="1990" ht="20.05" customHeight="1" x14ac:dyDescent="0.3"/>
    <row r="1991" ht="20.05" customHeight="1" x14ac:dyDescent="0.3"/>
    <row r="1992" ht="20.05" customHeight="1" x14ac:dyDescent="0.3"/>
    <row r="1993" ht="20.05" customHeight="1" x14ac:dyDescent="0.3"/>
    <row r="1994" ht="20.05" customHeight="1" x14ac:dyDescent="0.3"/>
    <row r="1995" ht="20.05" customHeight="1" x14ac:dyDescent="0.3"/>
    <row r="1996" ht="20.05" customHeight="1" x14ac:dyDescent="0.3"/>
    <row r="1997" ht="20.05" customHeight="1" x14ac:dyDescent="0.3"/>
    <row r="1998" ht="20.05" customHeight="1" x14ac:dyDescent="0.3"/>
    <row r="1999" ht="20.05" customHeight="1" x14ac:dyDescent="0.3"/>
    <row r="2000" ht="20.05" customHeight="1" x14ac:dyDescent="0.3"/>
    <row r="2001" ht="20.05" customHeight="1" x14ac:dyDescent="0.3"/>
    <row r="2002" ht="20.05" customHeight="1" x14ac:dyDescent="0.3"/>
    <row r="2003" ht="20.05" customHeight="1" x14ac:dyDescent="0.3"/>
    <row r="2004" ht="20.05" customHeight="1" x14ac:dyDescent="0.3"/>
    <row r="2005" ht="20.05" customHeight="1" x14ac:dyDescent="0.3"/>
    <row r="2006" ht="20.05" customHeight="1" x14ac:dyDescent="0.3"/>
    <row r="2007" ht="20.05" customHeight="1" x14ac:dyDescent="0.3"/>
    <row r="2008" ht="20.05" customHeight="1" x14ac:dyDescent="0.3"/>
    <row r="2009" ht="20.05" customHeight="1" x14ac:dyDescent="0.3"/>
    <row r="2010" ht="20.05" customHeight="1" x14ac:dyDescent="0.3"/>
    <row r="2011" ht="20.05" customHeight="1" x14ac:dyDescent="0.3"/>
    <row r="2012" ht="20.05" customHeight="1" x14ac:dyDescent="0.3"/>
    <row r="2013" ht="20.05" customHeight="1" x14ac:dyDescent="0.3"/>
    <row r="2014" ht="20.05" customHeight="1" x14ac:dyDescent="0.3"/>
    <row r="2015" ht="20.05" customHeight="1" x14ac:dyDescent="0.3"/>
    <row r="2016" ht="20.05" customHeight="1" x14ac:dyDescent="0.3"/>
    <row r="2017" ht="20.05" customHeight="1" x14ac:dyDescent="0.3"/>
    <row r="2018" ht="20.05" customHeight="1" x14ac:dyDescent="0.3"/>
    <row r="2019" ht="20.05" customHeight="1" x14ac:dyDescent="0.3"/>
    <row r="2020" ht="20.05" customHeight="1" x14ac:dyDescent="0.3"/>
    <row r="2021" ht="20.05" customHeight="1" x14ac:dyDescent="0.3"/>
    <row r="2022" ht="20.05" customHeight="1" x14ac:dyDescent="0.3"/>
    <row r="2023" ht="20.05" customHeight="1" x14ac:dyDescent="0.3"/>
    <row r="2024" ht="20.05" customHeight="1" x14ac:dyDescent="0.3"/>
    <row r="2025" ht="20.05" customHeight="1" x14ac:dyDescent="0.3"/>
    <row r="2026" ht="20.05" customHeight="1" x14ac:dyDescent="0.3"/>
    <row r="2027" ht="20.05" customHeight="1" x14ac:dyDescent="0.3"/>
    <row r="2028" ht="20.05" customHeight="1" x14ac:dyDescent="0.3"/>
    <row r="2029" ht="20.05" customHeight="1" x14ac:dyDescent="0.3"/>
    <row r="2030" ht="20.05" customHeight="1" x14ac:dyDescent="0.3"/>
    <row r="2031" ht="20.05" customHeight="1" x14ac:dyDescent="0.3"/>
    <row r="2032" ht="20.05" customHeight="1" x14ac:dyDescent="0.3"/>
    <row r="2033" ht="20.05" customHeight="1" x14ac:dyDescent="0.3"/>
    <row r="2034" ht="20.05" customHeight="1" x14ac:dyDescent="0.3"/>
    <row r="2035" ht="20.05" customHeight="1" x14ac:dyDescent="0.3"/>
    <row r="2036" ht="20.05" customHeight="1" x14ac:dyDescent="0.3"/>
    <row r="2037" ht="20.05" customHeight="1" x14ac:dyDescent="0.3"/>
    <row r="2038" ht="20.05" customHeight="1" x14ac:dyDescent="0.3"/>
    <row r="2039" ht="20.05" customHeight="1" x14ac:dyDescent="0.3"/>
    <row r="2040" ht="20.05" customHeight="1" x14ac:dyDescent="0.3"/>
    <row r="2041" ht="20.05" customHeight="1" x14ac:dyDescent="0.3"/>
    <row r="2042" ht="20.05" customHeight="1" x14ac:dyDescent="0.3"/>
    <row r="2043" ht="20.05" customHeight="1" x14ac:dyDescent="0.3"/>
    <row r="2044" ht="20.05" customHeight="1" x14ac:dyDescent="0.3"/>
    <row r="2045" ht="20.05" customHeight="1" x14ac:dyDescent="0.3"/>
    <row r="2046" ht="20.05" customHeight="1" x14ac:dyDescent="0.3"/>
    <row r="2047" ht="20.05" customHeight="1" x14ac:dyDescent="0.3"/>
    <row r="2048" ht="20.05" customHeight="1" x14ac:dyDescent="0.3"/>
    <row r="2049" ht="20.05" customHeight="1" x14ac:dyDescent="0.3"/>
    <row r="2050" ht="20.05" customHeight="1" x14ac:dyDescent="0.3"/>
    <row r="2051" ht="20.05" customHeight="1" x14ac:dyDescent="0.3"/>
    <row r="2052" ht="20.05" customHeight="1" x14ac:dyDescent="0.3"/>
    <row r="2053" ht="20.05" customHeight="1" x14ac:dyDescent="0.3"/>
    <row r="2054" ht="20.05" customHeight="1" x14ac:dyDescent="0.3"/>
    <row r="2055" ht="20.05" customHeight="1" x14ac:dyDescent="0.3"/>
    <row r="2056" ht="20.05" customHeight="1" x14ac:dyDescent="0.3"/>
    <row r="2057" ht="20.05" customHeight="1" x14ac:dyDescent="0.3"/>
    <row r="2058" ht="20.05" customHeight="1" x14ac:dyDescent="0.3"/>
    <row r="2059" ht="20.05" customHeight="1" x14ac:dyDescent="0.3"/>
    <row r="2060" ht="20.05" customHeight="1" x14ac:dyDescent="0.3"/>
    <row r="2061" ht="20.05" customHeight="1" x14ac:dyDescent="0.3"/>
    <row r="2062" ht="20.05" customHeight="1" x14ac:dyDescent="0.3"/>
    <row r="2063" ht="20.05" customHeight="1" x14ac:dyDescent="0.3"/>
    <row r="2064" ht="20.05" customHeight="1" x14ac:dyDescent="0.3"/>
    <row r="2065" ht="20.05" customHeight="1" x14ac:dyDescent="0.3"/>
    <row r="2066" ht="20.05" customHeight="1" x14ac:dyDescent="0.3"/>
    <row r="2067" ht="20.05" customHeight="1" x14ac:dyDescent="0.3"/>
    <row r="2068" ht="20.05" customHeight="1" x14ac:dyDescent="0.3"/>
    <row r="2069" ht="20.05" customHeight="1" x14ac:dyDescent="0.3"/>
    <row r="2070" ht="20.05" customHeight="1" x14ac:dyDescent="0.3"/>
    <row r="2071" ht="20.05" customHeight="1" x14ac:dyDescent="0.3"/>
    <row r="2072" ht="20.05" customHeight="1" x14ac:dyDescent="0.3"/>
    <row r="2073" ht="20.05" customHeight="1" x14ac:dyDescent="0.3"/>
    <row r="2074" ht="20.05" customHeight="1" x14ac:dyDescent="0.3"/>
    <row r="2075" ht="20.05" customHeight="1" x14ac:dyDescent="0.3"/>
    <row r="2076" ht="20.05" customHeight="1" x14ac:dyDescent="0.3"/>
    <row r="2077" ht="20.05" customHeight="1" x14ac:dyDescent="0.3"/>
    <row r="2078" ht="20.05" customHeight="1" x14ac:dyDescent="0.3"/>
    <row r="2079" ht="20.05" customHeight="1" x14ac:dyDescent="0.3"/>
    <row r="2080" ht="20.05" customHeight="1" x14ac:dyDescent="0.3"/>
    <row r="2081" ht="20.05" customHeight="1" x14ac:dyDescent="0.3"/>
    <row r="2082" ht="20.05" customHeight="1" x14ac:dyDescent="0.3"/>
    <row r="2083" ht="20.05" customHeight="1" x14ac:dyDescent="0.3"/>
    <row r="2084" ht="20.05" customHeight="1" x14ac:dyDescent="0.3"/>
    <row r="2085" ht="20.05" customHeight="1" x14ac:dyDescent="0.3"/>
    <row r="2086" ht="20.05" customHeight="1" x14ac:dyDescent="0.3"/>
    <row r="2087" ht="20.05" customHeight="1" x14ac:dyDescent="0.3"/>
    <row r="2088" ht="20.05" customHeight="1" x14ac:dyDescent="0.3"/>
    <row r="2089" ht="20.05" customHeight="1" x14ac:dyDescent="0.3"/>
    <row r="2090" ht="20.05" customHeight="1" x14ac:dyDescent="0.3"/>
    <row r="2091" ht="20.05" customHeight="1" x14ac:dyDescent="0.3"/>
    <row r="2092" ht="20.05" customHeight="1" x14ac:dyDescent="0.3"/>
    <row r="2093" ht="20.05" customHeight="1" x14ac:dyDescent="0.3"/>
    <row r="2094" ht="20.05" customHeight="1" x14ac:dyDescent="0.3"/>
    <row r="2095" ht="20.05" customHeight="1" x14ac:dyDescent="0.3"/>
    <row r="2096" ht="20.05" customHeight="1" x14ac:dyDescent="0.3"/>
    <row r="2097" ht="20.05" customHeight="1" x14ac:dyDescent="0.3"/>
    <row r="2098" ht="20.05" customHeight="1" x14ac:dyDescent="0.3"/>
    <row r="2099" ht="20.05" customHeight="1" x14ac:dyDescent="0.3"/>
    <row r="2100" ht="20.05" customHeight="1" x14ac:dyDescent="0.3"/>
    <row r="2101" ht="20.05" customHeight="1" x14ac:dyDescent="0.3"/>
    <row r="2102" ht="20.05" customHeight="1" x14ac:dyDescent="0.3"/>
    <row r="2103" ht="20.05" customHeight="1" x14ac:dyDescent="0.3"/>
    <row r="2104" ht="20.05" customHeight="1" x14ac:dyDescent="0.3"/>
    <row r="2105" ht="20.05" customHeight="1" x14ac:dyDescent="0.3"/>
    <row r="2106" ht="20.05" customHeight="1" x14ac:dyDescent="0.3"/>
    <row r="2107" ht="20.05" customHeight="1" x14ac:dyDescent="0.3"/>
    <row r="2108" ht="20.05" customHeight="1" x14ac:dyDescent="0.3"/>
    <row r="2109" ht="20.05" customHeight="1" x14ac:dyDescent="0.3"/>
    <row r="2110" ht="20.05" customHeight="1" x14ac:dyDescent="0.3"/>
    <row r="2111" ht="20.05" customHeight="1" x14ac:dyDescent="0.3"/>
    <row r="2112" ht="20.05" customHeight="1" x14ac:dyDescent="0.3"/>
    <row r="2113" ht="20.05" customHeight="1" x14ac:dyDescent="0.3"/>
    <row r="2114" ht="20.05" customHeight="1" x14ac:dyDescent="0.3"/>
    <row r="2115" ht="20.05" customHeight="1" x14ac:dyDescent="0.3"/>
    <row r="2116" ht="20.05" customHeight="1" x14ac:dyDescent="0.3"/>
    <row r="2117" ht="20.05" customHeight="1" x14ac:dyDescent="0.3"/>
    <row r="2118" ht="20.05" customHeight="1" x14ac:dyDescent="0.3"/>
    <row r="2119" ht="20.05" customHeight="1" x14ac:dyDescent="0.3"/>
    <row r="2120" ht="20.05" customHeight="1" x14ac:dyDescent="0.3"/>
    <row r="2121" ht="20.05" customHeight="1" x14ac:dyDescent="0.3"/>
    <row r="2122" ht="20.05" customHeight="1" x14ac:dyDescent="0.3"/>
    <row r="2123" ht="20.05" customHeight="1" x14ac:dyDescent="0.3"/>
    <row r="2124" ht="20.05" customHeight="1" x14ac:dyDescent="0.3"/>
    <row r="2125" ht="20.05" customHeight="1" x14ac:dyDescent="0.3"/>
    <row r="2126" ht="20.05" customHeight="1" x14ac:dyDescent="0.3"/>
    <row r="2127" ht="20.05" customHeight="1" x14ac:dyDescent="0.3"/>
    <row r="2128" ht="20.05" customHeight="1" x14ac:dyDescent="0.3"/>
    <row r="2129" ht="20.05" customHeight="1" x14ac:dyDescent="0.3"/>
    <row r="2130" ht="20.05" customHeight="1" x14ac:dyDescent="0.3"/>
    <row r="2131" ht="20.05" customHeight="1" x14ac:dyDescent="0.3"/>
    <row r="2132" ht="20.05" customHeight="1" x14ac:dyDescent="0.3"/>
    <row r="2133" ht="20.05" customHeight="1" x14ac:dyDescent="0.3"/>
    <row r="2134" ht="20.05" customHeight="1" x14ac:dyDescent="0.3"/>
    <row r="2135" ht="20.05" customHeight="1" x14ac:dyDescent="0.3"/>
    <row r="2136" ht="20.05" customHeight="1" x14ac:dyDescent="0.3"/>
    <row r="2137" ht="20.05" customHeight="1" x14ac:dyDescent="0.3"/>
    <row r="2138" ht="20.05" customHeight="1" x14ac:dyDescent="0.3"/>
    <row r="2139" ht="20.05" customHeight="1" x14ac:dyDescent="0.3"/>
    <row r="2140" ht="20.05" customHeight="1" x14ac:dyDescent="0.3"/>
    <row r="2141" ht="20.05" customHeight="1" x14ac:dyDescent="0.3"/>
    <row r="2142" ht="20.05" customHeight="1" x14ac:dyDescent="0.3"/>
    <row r="2143" ht="20.05" customHeight="1" x14ac:dyDescent="0.3"/>
    <row r="2144" ht="20.05" customHeight="1" x14ac:dyDescent="0.3"/>
    <row r="2145" ht="20.05" customHeight="1" x14ac:dyDescent="0.3"/>
    <row r="2146" ht="20.05" customHeight="1" x14ac:dyDescent="0.3"/>
    <row r="2147" ht="20.05" customHeight="1" x14ac:dyDescent="0.3"/>
    <row r="2148" ht="20.05" customHeight="1" x14ac:dyDescent="0.3"/>
    <row r="2149" ht="20.05" customHeight="1" x14ac:dyDescent="0.3"/>
    <row r="2150" ht="20.05" customHeight="1" x14ac:dyDescent="0.3"/>
    <row r="2151" ht="20.05" customHeight="1" x14ac:dyDescent="0.3"/>
    <row r="2152" ht="20.05" customHeight="1" x14ac:dyDescent="0.3"/>
    <row r="2153" ht="20.05" customHeight="1" x14ac:dyDescent="0.3"/>
    <row r="2154" ht="20.05" customHeight="1" x14ac:dyDescent="0.3"/>
    <row r="2155" ht="20.05" customHeight="1" x14ac:dyDescent="0.3"/>
    <row r="2156" ht="20.05" customHeight="1" x14ac:dyDescent="0.3"/>
    <row r="2157" ht="20.05" customHeight="1" x14ac:dyDescent="0.3"/>
    <row r="2158" ht="20.05" customHeight="1" x14ac:dyDescent="0.3"/>
    <row r="2159" ht="20.05" customHeight="1" x14ac:dyDescent="0.3"/>
    <row r="2160" ht="20.05" customHeight="1" x14ac:dyDescent="0.3"/>
    <row r="2161" ht="20.05" customHeight="1" x14ac:dyDescent="0.3"/>
    <row r="2162" ht="20.05" customHeight="1" x14ac:dyDescent="0.3"/>
    <row r="2163" ht="20.05" customHeight="1" x14ac:dyDescent="0.3"/>
    <row r="2164" ht="20.05" customHeight="1" x14ac:dyDescent="0.3"/>
    <row r="2165" ht="20.05" customHeight="1" x14ac:dyDescent="0.3"/>
    <row r="2166" ht="20.05" customHeight="1" x14ac:dyDescent="0.3"/>
    <row r="2167" ht="20.05" customHeight="1" x14ac:dyDescent="0.3"/>
    <row r="2168" ht="20.05" customHeight="1" x14ac:dyDescent="0.3"/>
    <row r="2169" ht="20.05" customHeight="1" x14ac:dyDescent="0.3"/>
    <row r="2170" ht="20.05" customHeight="1" x14ac:dyDescent="0.3"/>
    <row r="2171" ht="20.05" customHeight="1" x14ac:dyDescent="0.3"/>
    <row r="2172" ht="20.05" customHeight="1" x14ac:dyDescent="0.3"/>
    <row r="2173" ht="20.05" customHeight="1" x14ac:dyDescent="0.3"/>
    <row r="2174" ht="20.05" customHeight="1" x14ac:dyDescent="0.3"/>
    <row r="2175" ht="20.05" customHeight="1" x14ac:dyDescent="0.3"/>
    <row r="2176" ht="20.05" customHeight="1" x14ac:dyDescent="0.3"/>
    <row r="2177" ht="20.05" customHeight="1" x14ac:dyDescent="0.3"/>
    <row r="2178" ht="20.05" customHeight="1" x14ac:dyDescent="0.3"/>
    <row r="2179" ht="20.05" customHeight="1" x14ac:dyDescent="0.3"/>
    <row r="2180" ht="20.05" customHeight="1" x14ac:dyDescent="0.3"/>
    <row r="2181" ht="20.05" customHeight="1" x14ac:dyDescent="0.3"/>
    <row r="2182" ht="20.05" customHeight="1" x14ac:dyDescent="0.3"/>
    <row r="2183" ht="20.05" customHeight="1" x14ac:dyDescent="0.3"/>
    <row r="2184" ht="20.05" customHeight="1" x14ac:dyDescent="0.3"/>
    <row r="2185" ht="20.05" customHeight="1" x14ac:dyDescent="0.3"/>
    <row r="2186" ht="20.05" customHeight="1" x14ac:dyDescent="0.3"/>
    <row r="2187" ht="20.05" customHeight="1" x14ac:dyDescent="0.3"/>
    <row r="2188" ht="20.05" customHeight="1" x14ac:dyDescent="0.3"/>
    <row r="2189" ht="20.05" customHeight="1" x14ac:dyDescent="0.3"/>
    <row r="2190" ht="20.05" customHeight="1" x14ac:dyDescent="0.3"/>
    <row r="2191" ht="20.05" customHeight="1" x14ac:dyDescent="0.3"/>
    <row r="2192" ht="20.05" customHeight="1" x14ac:dyDescent="0.3"/>
    <row r="2193" ht="20.05" customHeight="1" x14ac:dyDescent="0.3"/>
    <row r="2194" ht="20.05" customHeight="1" x14ac:dyDescent="0.3"/>
    <row r="2195" ht="20.05" customHeight="1" x14ac:dyDescent="0.3"/>
    <row r="2196" ht="20.05" customHeight="1" x14ac:dyDescent="0.3"/>
    <row r="2197" ht="20.05" customHeight="1" x14ac:dyDescent="0.3"/>
  </sheetData>
  <sheetProtection selectLockedCells="1"/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C47EF-D6DC-4667-A8F8-82180732116A}">
  <sheetPr codeName="Sheet7">
    <tabColor theme="0" tint="-0.499984740745262"/>
  </sheetPr>
  <dimension ref="A1:C2197"/>
  <sheetViews>
    <sheetView topLeftCell="A8" zoomScale="70" zoomScaleNormal="70" workbookViewId="0">
      <selection activeCell="N24" sqref="N24"/>
    </sheetView>
  </sheetViews>
  <sheetFormatPr defaultRowHeight="15.05" x14ac:dyDescent="0.3"/>
  <cols>
    <col min="1" max="1" width="16" customWidth="1"/>
    <col min="2" max="2" width="35.44140625" customWidth="1"/>
    <col min="3" max="3" width="66.6640625" customWidth="1"/>
    <col min="4" max="4" width="40.5546875" customWidth="1"/>
    <col min="5" max="5" width="22.88671875" customWidth="1"/>
    <col min="6" max="6" width="13.88671875" customWidth="1"/>
    <col min="7" max="7" width="12" customWidth="1"/>
    <col min="8" max="8" width="16.44140625" customWidth="1"/>
    <col min="9" max="9" width="9.6640625" customWidth="1"/>
    <col min="12" max="12" width="11.88671875" customWidth="1"/>
  </cols>
  <sheetData>
    <row r="1" spans="1:3" s="1" customFormat="1" ht="98.3" customHeight="1" x14ac:dyDescent="0.3">
      <c r="A1" s="121"/>
      <c r="B1" s="121"/>
    </row>
    <row r="2" spans="1:3" s="1" customFormat="1" ht="20.05" customHeight="1" x14ac:dyDescent="0.3">
      <c r="A2" s="3" t="s">
        <v>0</v>
      </c>
      <c r="B2" s="4">
        <f>'Client Information'!B2</f>
        <v>0</v>
      </c>
    </row>
    <row r="3" spans="1:3" s="1" customFormat="1" ht="20.05" customHeight="1" x14ac:dyDescent="0.3">
      <c r="A3" s="3" t="s">
        <v>1</v>
      </c>
      <c r="B3" s="4">
        <f>'Client Information'!B3</f>
        <v>0</v>
      </c>
    </row>
    <row r="4" spans="1:3" s="1" customFormat="1" ht="20.05" customHeight="1" x14ac:dyDescent="0.3">
      <c r="A4" s="3" t="s">
        <v>2</v>
      </c>
      <c r="B4" s="4">
        <f>'Client Information'!B4</f>
        <v>0</v>
      </c>
    </row>
    <row r="5" spans="1:3" s="1" customFormat="1" ht="20.05" customHeight="1" x14ac:dyDescent="0.3">
      <c r="A5" s="3" t="s">
        <v>3</v>
      </c>
      <c r="B5" s="4">
        <f>'Client Information'!B5</f>
        <v>0</v>
      </c>
    </row>
    <row r="6" spans="1:3" s="1" customFormat="1" ht="20.05" customHeight="1" x14ac:dyDescent="0.3">
      <c r="A6" s="3" t="s">
        <v>4</v>
      </c>
      <c r="B6" s="4">
        <f>'Client Information'!B6</f>
        <v>0</v>
      </c>
    </row>
    <row r="7" spans="1:3" s="1" customFormat="1" ht="20.05" customHeight="1" x14ac:dyDescent="0.3">
      <c r="A7" s="3" t="s">
        <v>5</v>
      </c>
      <c r="B7" s="4">
        <f>'Client Information'!B7</f>
        <v>0</v>
      </c>
    </row>
    <row r="8" spans="1:3" s="1" customFormat="1" ht="20.05" customHeight="1" x14ac:dyDescent="0.3">
      <c r="A8" s="3" t="s">
        <v>6</v>
      </c>
      <c r="B8" s="4">
        <f>'Client Information'!B8</f>
        <v>0</v>
      </c>
    </row>
    <row r="9" spans="1:3" s="1" customFormat="1" ht="20.05" customHeight="1" x14ac:dyDescent="0.3">
      <c r="A9" s="3" t="s">
        <v>7</v>
      </c>
      <c r="B9" s="4">
        <f>'Client Information'!B9</f>
        <v>0</v>
      </c>
    </row>
    <row r="10" spans="1:3" s="1" customFormat="1" ht="20.05" customHeight="1" x14ac:dyDescent="0.3">
      <c r="A10" s="3" t="s">
        <v>8</v>
      </c>
      <c r="B10" s="4">
        <f>'Client Information'!B10</f>
        <v>0</v>
      </c>
    </row>
    <row r="11" spans="1:3" s="1" customFormat="1" ht="20.05" customHeight="1" x14ac:dyDescent="0.3"/>
    <row r="12" spans="1:3" ht="20.05" customHeight="1" x14ac:dyDescent="0.35">
      <c r="A12" s="8"/>
      <c r="C12" s="8" t="s">
        <v>45</v>
      </c>
    </row>
    <row r="13" spans="1:3" ht="20.05" customHeight="1" x14ac:dyDescent="0.3"/>
    <row r="14" spans="1:3" ht="20.05" customHeight="1" x14ac:dyDescent="0.3"/>
    <row r="15" spans="1:3" ht="20.05" customHeight="1" x14ac:dyDescent="0.3"/>
    <row r="16" spans="1:3" ht="20.05" customHeight="1" x14ac:dyDescent="0.3"/>
    <row r="17" spans="1:1" ht="20.05" customHeight="1" x14ac:dyDescent="0.3"/>
    <row r="18" spans="1:1" ht="20.05" customHeight="1" x14ac:dyDescent="0.3">
      <c r="A18" s="7"/>
    </row>
    <row r="19" spans="1:1" ht="20.05" customHeight="1" x14ac:dyDescent="0.3">
      <c r="A19" s="7"/>
    </row>
    <row r="20" spans="1:1" ht="20.05" customHeight="1" x14ac:dyDescent="0.3"/>
    <row r="21" spans="1:1" ht="20.05" customHeight="1" x14ac:dyDescent="0.3"/>
    <row r="22" spans="1:1" ht="20.05" customHeight="1" x14ac:dyDescent="0.3"/>
    <row r="23" spans="1:1" ht="20.05" customHeight="1" x14ac:dyDescent="0.3"/>
    <row r="24" spans="1:1" ht="20.05" customHeight="1" x14ac:dyDescent="0.3"/>
    <row r="25" spans="1:1" ht="20.05" customHeight="1" x14ac:dyDescent="0.3"/>
    <row r="26" spans="1:1" ht="20.05" customHeight="1" x14ac:dyDescent="0.3"/>
    <row r="27" spans="1:1" ht="20.05" customHeight="1" x14ac:dyDescent="0.3"/>
    <row r="28" spans="1:1" ht="20.05" customHeight="1" x14ac:dyDescent="0.3"/>
    <row r="29" spans="1:1" ht="20.05" customHeight="1" x14ac:dyDescent="0.3"/>
    <row r="30" spans="1:1" ht="20.05" customHeight="1" x14ac:dyDescent="0.3"/>
    <row r="31" spans="1:1" ht="20.05" customHeight="1" x14ac:dyDescent="0.3"/>
    <row r="32" spans="1:1" ht="20.05" customHeight="1" x14ac:dyDescent="0.3"/>
    <row r="33" spans="1:2" ht="20.05" customHeight="1" x14ac:dyDescent="0.3"/>
    <row r="34" spans="1:2" ht="20.05" customHeight="1" x14ac:dyDescent="0.3"/>
    <row r="35" spans="1:2" ht="20.05" customHeight="1" x14ac:dyDescent="0.3"/>
    <row r="36" spans="1:2" ht="20.05" customHeight="1" x14ac:dyDescent="0.3"/>
    <row r="37" spans="1:2" ht="20.05" customHeight="1" x14ac:dyDescent="0.3"/>
    <row r="38" spans="1:2" ht="20.05" customHeight="1" x14ac:dyDescent="0.3">
      <c r="A38" s="7"/>
      <c r="B38" s="7"/>
    </row>
    <row r="39" spans="1:2" ht="20.05" customHeight="1" x14ac:dyDescent="0.3"/>
    <row r="40" spans="1:2" ht="20.05" customHeight="1" x14ac:dyDescent="0.3"/>
    <row r="41" spans="1:2" ht="20.05" customHeight="1" x14ac:dyDescent="0.3"/>
    <row r="42" spans="1:2" ht="20.05" customHeight="1" x14ac:dyDescent="0.3"/>
    <row r="43" spans="1:2" ht="20.05" customHeight="1" x14ac:dyDescent="0.3"/>
    <row r="44" spans="1:2" ht="20.05" customHeight="1" x14ac:dyDescent="0.3"/>
    <row r="45" spans="1:2" ht="20.05" customHeight="1" x14ac:dyDescent="0.3"/>
    <row r="46" spans="1:2" ht="20.05" customHeight="1" x14ac:dyDescent="0.3"/>
    <row r="47" spans="1:2" ht="20.05" customHeight="1" x14ac:dyDescent="0.3"/>
    <row r="48" spans="1:2" ht="20.05" customHeight="1" x14ac:dyDescent="0.3"/>
    <row r="49" ht="20.05" customHeight="1" x14ac:dyDescent="0.3"/>
    <row r="50" ht="20.05" customHeight="1" x14ac:dyDescent="0.3"/>
    <row r="51" ht="20.05" customHeight="1" x14ac:dyDescent="0.3"/>
    <row r="52" ht="20.05" customHeight="1" x14ac:dyDescent="0.3"/>
    <row r="53" ht="20.05" customHeight="1" x14ac:dyDescent="0.3"/>
    <row r="54" ht="20.05" customHeight="1" x14ac:dyDescent="0.3"/>
    <row r="55" ht="20.05" customHeight="1" x14ac:dyDescent="0.3"/>
    <row r="56" ht="20.05" customHeight="1" x14ac:dyDescent="0.3"/>
    <row r="57" ht="20.05" customHeight="1" x14ac:dyDescent="0.3"/>
    <row r="58" ht="20.05" customHeight="1" x14ac:dyDescent="0.3"/>
    <row r="59" ht="20.05" customHeight="1" x14ac:dyDescent="0.3"/>
    <row r="60" ht="20.05" customHeight="1" x14ac:dyDescent="0.3"/>
    <row r="61" ht="20.05" customHeight="1" x14ac:dyDescent="0.3"/>
    <row r="62" ht="20.05" customHeight="1" x14ac:dyDescent="0.3"/>
    <row r="63" ht="20.05" customHeight="1" x14ac:dyDescent="0.3"/>
    <row r="64" ht="20.05" customHeight="1" x14ac:dyDescent="0.3"/>
    <row r="65" ht="20.05" customHeight="1" x14ac:dyDescent="0.3"/>
    <row r="66" ht="20.05" customHeight="1" x14ac:dyDescent="0.3"/>
    <row r="67" ht="20.05" customHeight="1" x14ac:dyDescent="0.3"/>
    <row r="68" ht="20.05" customHeight="1" x14ac:dyDescent="0.3"/>
    <row r="69" ht="20.05" customHeight="1" x14ac:dyDescent="0.3"/>
    <row r="70" ht="20.05" customHeight="1" x14ac:dyDescent="0.3"/>
    <row r="71" ht="20.05" customHeight="1" x14ac:dyDescent="0.3"/>
    <row r="72" ht="20.05" customHeight="1" x14ac:dyDescent="0.3"/>
    <row r="73" ht="20.05" customHeight="1" x14ac:dyDescent="0.3"/>
    <row r="74" ht="20.05" customHeight="1" x14ac:dyDescent="0.3"/>
    <row r="75" ht="20.05" customHeight="1" x14ac:dyDescent="0.3"/>
    <row r="76" ht="20.05" customHeight="1" x14ac:dyDescent="0.3"/>
    <row r="77" ht="20.05" customHeight="1" x14ac:dyDescent="0.3"/>
    <row r="78" ht="20.05" customHeight="1" x14ac:dyDescent="0.3"/>
    <row r="79" ht="20.05" customHeight="1" x14ac:dyDescent="0.3"/>
    <row r="80" ht="20.05" customHeight="1" x14ac:dyDescent="0.3"/>
    <row r="81" ht="20.05" customHeight="1" x14ac:dyDescent="0.3"/>
    <row r="82" ht="20.05" customHeight="1" x14ac:dyDescent="0.3"/>
    <row r="83" ht="20.05" customHeight="1" x14ac:dyDescent="0.3"/>
    <row r="84" ht="20.05" customHeight="1" x14ac:dyDescent="0.3"/>
    <row r="85" ht="20.05" customHeight="1" x14ac:dyDescent="0.3"/>
    <row r="86" ht="20.05" customHeight="1" x14ac:dyDescent="0.3"/>
    <row r="87" ht="20.05" customHeight="1" x14ac:dyDescent="0.3"/>
    <row r="88" ht="20.05" customHeight="1" x14ac:dyDescent="0.3"/>
    <row r="89" ht="20.05" customHeight="1" x14ac:dyDescent="0.3"/>
    <row r="90" ht="20.05" customHeight="1" x14ac:dyDescent="0.3"/>
    <row r="91" ht="20.05" customHeight="1" x14ac:dyDescent="0.3"/>
    <row r="92" ht="20.05" customHeight="1" x14ac:dyDescent="0.3"/>
    <row r="93" ht="20.05" customHeight="1" x14ac:dyDescent="0.3"/>
    <row r="94" ht="20.05" customHeight="1" x14ac:dyDescent="0.3"/>
    <row r="95" ht="20.05" customHeight="1" x14ac:dyDescent="0.3"/>
    <row r="96" ht="20.05" customHeight="1" x14ac:dyDescent="0.3"/>
    <row r="97" ht="20.05" customHeight="1" x14ac:dyDescent="0.3"/>
    <row r="98" ht="20.05" customHeight="1" x14ac:dyDescent="0.3"/>
    <row r="99" ht="20.05" customHeight="1" x14ac:dyDescent="0.3"/>
    <row r="100" ht="20.05" customHeight="1" x14ac:dyDescent="0.3"/>
    <row r="101" ht="20.05" customHeight="1" x14ac:dyDescent="0.3"/>
    <row r="102" ht="20.05" customHeight="1" x14ac:dyDescent="0.3"/>
    <row r="103" ht="20.05" customHeight="1" x14ac:dyDescent="0.3"/>
    <row r="104" ht="20.05" customHeight="1" x14ac:dyDescent="0.3"/>
    <row r="105" ht="20.05" customHeight="1" x14ac:dyDescent="0.3"/>
    <row r="106" ht="20.05" customHeight="1" x14ac:dyDescent="0.3"/>
    <row r="107" ht="20.05" customHeight="1" x14ac:dyDescent="0.3"/>
    <row r="108" ht="20.05" customHeight="1" x14ac:dyDescent="0.3"/>
    <row r="109" ht="20.05" customHeight="1" x14ac:dyDescent="0.3"/>
    <row r="110" ht="20.05" customHeight="1" x14ac:dyDescent="0.3"/>
    <row r="111" ht="20.05" customHeight="1" x14ac:dyDescent="0.3"/>
    <row r="112" ht="20.05" customHeight="1" x14ac:dyDescent="0.3"/>
    <row r="113" ht="20.05" customHeight="1" x14ac:dyDescent="0.3"/>
    <row r="114" ht="20.05" customHeight="1" x14ac:dyDescent="0.3"/>
    <row r="115" ht="20.05" customHeight="1" x14ac:dyDescent="0.3"/>
    <row r="116" ht="20.05" customHeight="1" x14ac:dyDescent="0.3"/>
    <row r="117" ht="20.05" customHeight="1" x14ac:dyDescent="0.3"/>
    <row r="118" ht="20.05" customHeight="1" x14ac:dyDescent="0.3"/>
    <row r="119" ht="20.05" customHeight="1" x14ac:dyDescent="0.3"/>
    <row r="120" ht="20.05" customHeight="1" x14ac:dyDescent="0.3"/>
    <row r="121" ht="20.05" customHeight="1" x14ac:dyDescent="0.3"/>
    <row r="122" ht="20.05" customHeight="1" x14ac:dyDescent="0.3"/>
    <row r="123" ht="20.05" customHeight="1" x14ac:dyDescent="0.3"/>
    <row r="124" ht="20.05" customHeight="1" x14ac:dyDescent="0.3"/>
    <row r="125" ht="20.05" customHeight="1" x14ac:dyDescent="0.3"/>
    <row r="126" ht="20.05" customHeight="1" x14ac:dyDescent="0.3"/>
    <row r="127" ht="20.05" customHeight="1" x14ac:dyDescent="0.3"/>
    <row r="128" ht="20.05" customHeight="1" x14ac:dyDescent="0.3"/>
    <row r="129" ht="20.05" customHeight="1" x14ac:dyDescent="0.3"/>
    <row r="130" ht="20.05" customHeight="1" x14ac:dyDescent="0.3"/>
    <row r="131" ht="20.05" customHeight="1" x14ac:dyDescent="0.3"/>
    <row r="132" ht="20.05" customHeight="1" x14ac:dyDescent="0.3"/>
    <row r="133" ht="20.05" customHeight="1" x14ac:dyDescent="0.3"/>
    <row r="134" ht="20.05" customHeight="1" x14ac:dyDescent="0.3"/>
    <row r="135" ht="20.05" customHeight="1" x14ac:dyDescent="0.3"/>
    <row r="136" ht="20.05" customHeight="1" x14ac:dyDescent="0.3"/>
    <row r="137" ht="20.05" customHeight="1" x14ac:dyDescent="0.3"/>
    <row r="138" ht="20.05" customHeight="1" x14ac:dyDescent="0.3"/>
    <row r="139" ht="20.05" customHeight="1" x14ac:dyDescent="0.3"/>
    <row r="140" ht="20.05" customHeight="1" x14ac:dyDescent="0.3"/>
    <row r="141" ht="20.05" customHeight="1" x14ac:dyDescent="0.3"/>
    <row r="142" ht="20.05" customHeight="1" x14ac:dyDescent="0.3"/>
    <row r="143" ht="20.05" customHeight="1" x14ac:dyDescent="0.3"/>
    <row r="144" ht="20.05" customHeight="1" x14ac:dyDescent="0.3"/>
    <row r="145" ht="20.05" customHeight="1" x14ac:dyDescent="0.3"/>
    <row r="146" ht="20.05" customHeight="1" x14ac:dyDescent="0.3"/>
    <row r="147" ht="20.05" customHeight="1" x14ac:dyDescent="0.3"/>
    <row r="148" ht="20.05" customHeight="1" x14ac:dyDescent="0.3"/>
    <row r="149" ht="20.05" customHeight="1" x14ac:dyDescent="0.3"/>
    <row r="150" ht="20.05" customHeight="1" x14ac:dyDescent="0.3"/>
    <row r="151" ht="20.05" customHeight="1" x14ac:dyDescent="0.3"/>
    <row r="152" ht="20.05" customHeight="1" x14ac:dyDescent="0.3"/>
    <row r="153" ht="20.05" customHeight="1" x14ac:dyDescent="0.3"/>
    <row r="154" ht="20.05" customHeight="1" x14ac:dyDescent="0.3"/>
    <row r="155" ht="20.05" customHeight="1" x14ac:dyDescent="0.3"/>
    <row r="156" ht="20.05" customHeight="1" x14ac:dyDescent="0.3"/>
    <row r="157" ht="20.05" customHeight="1" x14ac:dyDescent="0.3"/>
    <row r="158" ht="20.05" customHeight="1" x14ac:dyDescent="0.3"/>
    <row r="159" ht="20.05" customHeight="1" x14ac:dyDescent="0.3"/>
    <row r="160" ht="20.05" customHeight="1" x14ac:dyDescent="0.3"/>
    <row r="161" ht="20.05" customHeight="1" x14ac:dyDescent="0.3"/>
    <row r="162" ht="20.05" customHeight="1" x14ac:dyDescent="0.3"/>
    <row r="163" ht="20.05" customHeight="1" x14ac:dyDescent="0.3"/>
    <row r="164" ht="20.05" customHeight="1" x14ac:dyDescent="0.3"/>
    <row r="165" ht="20.05" customHeight="1" x14ac:dyDescent="0.3"/>
    <row r="166" ht="20.05" customHeight="1" x14ac:dyDescent="0.3"/>
    <row r="167" ht="20.05" customHeight="1" x14ac:dyDescent="0.3"/>
    <row r="168" ht="20.05" customHeight="1" x14ac:dyDescent="0.3"/>
    <row r="169" ht="20.05" customHeight="1" x14ac:dyDescent="0.3"/>
    <row r="170" ht="20.05" customHeight="1" x14ac:dyDescent="0.3"/>
    <row r="171" ht="20.05" customHeight="1" x14ac:dyDescent="0.3"/>
    <row r="172" ht="20.05" customHeight="1" x14ac:dyDescent="0.3"/>
    <row r="173" ht="20.05" customHeight="1" x14ac:dyDescent="0.3"/>
    <row r="174" ht="20.05" customHeight="1" x14ac:dyDescent="0.3"/>
    <row r="175" ht="20.05" customHeight="1" x14ac:dyDescent="0.3"/>
    <row r="176" ht="20.05" customHeight="1" x14ac:dyDescent="0.3"/>
    <row r="177" ht="20.05" customHeight="1" x14ac:dyDescent="0.3"/>
    <row r="178" ht="20.05" customHeight="1" x14ac:dyDescent="0.3"/>
    <row r="179" ht="20.05" customHeight="1" x14ac:dyDescent="0.3"/>
    <row r="180" ht="20.05" customHeight="1" x14ac:dyDescent="0.3"/>
    <row r="181" ht="20.05" customHeight="1" x14ac:dyDescent="0.3"/>
    <row r="182" ht="20.05" customHeight="1" x14ac:dyDescent="0.3"/>
    <row r="183" ht="20.05" customHeight="1" x14ac:dyDescent="0.3"/>
    <row r="184" ht="20.05" customHeight="1" x14ac:dyDescent="0.3"/>
    <row r="185" ht="20.05" customHeight="1" x14ac:dyDescent="0.3"/>
    <row r="186" ht="20.05" customHeight="1" x14ac:dyDescent="0.3"/>
    <row r="187" ht="20.05" customHeight="1" x14ac:dyDescent="0.3"/>
    <row r="188" ht="20.05" customHeight="1" x14ac:dyDescent="0.3"/>
    <row r="189" ht="20.05" customHeight="1" x14ac:dyDescent="0.3"/>
    <row r="190" ht="20.05" customHeight="1" x14ac:dyDescent="0.3"/>
    <row r="191" ht="20.05" customHeight="1" x14ac:dyDescent="0.3"/>
    <row r="192" ht="20.05" customHeight="1" x14ac:dyDescent="0.3"/>
    <row r="193" ht="20.05" customHeight="1" x14ac:dyDescent="0.3"/>
    <row r="194" ht="20.05" customHeight="1" x14ac:dyDescent="0.3"/>
    <row r="195" ht="20.05" customHeight="1" x14ac:dyDescent="0.3"/>
    <row r="196" ht="20.05" customHeight="1" x14ac:dyDescent="0.3"/>
    <row r="197" ht="20.05" customHeight="1" x14ac:dyDescent="0.3"/>
    <row r="198" ht="20.05" customHeight="1" x14ac:dyDescent="0.3"/>
    <row r="199" ht="20.05" customHeight="1" x14ac:dyDescent="0.3"/>
    <row r="200" ht="20.05" customHeight="1" x14ac:dyDescent="0.3"/>
    <row r="201" ht="20.05" customHeight="1" x14ac:dyDescent="0.3"/>
    <row r="202" ht="20.05" customHeight="1" x14ac:dyDescent="0.3"/>
    <row r="203" ht="20.05" customHeight="1" x14ac:dyDescent="0.3"/>
    <row r="204" ht="20.05" customHeight="1" x14ac:dyDescent="0.3"/>
    <row r="205" ht="20.05" customHeight="1" x14ac:dyDescent="0.3"/>
    <row r="206" ht="20.05" customHeight="1" x14ac:dyDescent="0.3"/>
    <row r="207" ht="20.05" customHeight="1" x14ac:dyDescent="0.3"/>
    <row r="208" ht="20.05" customHeight="1" x14ac:dyDescent="0.3"/>
    <row r="209" ht="20.05" customHeight="1" x14ac:dyDescent="0.3"/>
    <row r="210" ht="20.05" customHeight="1" x14ac:dyDescent="0.3"/>
    <row r="211" ht="20.05" customHeight="1" x14ac:dyDescent="0.3"/>
    <row r="212" ht="20.05" customHeight="1" x14ac:dyDescent="0.3"/>
    <row r="213" ht="20.05" customHeight="1" x14ac:dyDescent="0.3"/>
    <row r="214" ht="20.05" customHeight="1" x14ac:dyDescent="0.3"/>
    <row r="215" ht="20.05" customHeight="1" x14ac:dyDescent="0.3"/>
    <row r="216" ht="20.05" customHeight="1" x14ac:dyDescent="0.3"/>
    <row r="217" ht="20.05" customHeight="1" x14ac:dyDescent="0.3"/>
    <row r="218" ht="20.05" customHeight="1" x14ac:dyDescent="0.3"/>
    <row r="219" ht="20.05" customHeight="1" x14ac:dyDescent="0.3"/>
    <row r="220" ht="20.05" customHeight="1" x14ac:dyDescent="0.3"/>
    <row r="221" ht="20.05" customHeight="1" x14ac:dyDescent="0.3"/>
    <row r="222" ht="20.05" customHeight="1" x14ac:dyDescent="0.3"/>
    <row r="223" ht="20.05" customHeight="1" x14ac:dyDescent="0.3"/>
    <row r="224" ht="20.05" customHeight="1" x14ac:dyDescent="0.3"/>
    <row r="225" ht="20.05" customHeight="1" x14ac:dyDescent="0.3"/>
    <row r="226" ht="20.05" customHeight="1" x14ac:dyDescent="0.3"/>
    <row r="227" ht="20.05" customHeight="1" x14ac:dyDescent="0.3"/>
    <row r="228" ht="20.05" customHeight="1" x14ac:dyDescent="0.3"/>
    <row r="229" ht="20.05" customHeight="1" x14ac:dyDescent="0.3"/>
    <row r="230" ht="20.05" customHeight="1" x14ac:dyDescent="0.3"/>
    <row r="231" ht="20.05" customHeight="1" x14ac:dyDescent="0.3"/>
    <row r="232" ht="20.05" customHeight="1" x14ac:dyDescent="0.3"/>
    <row r="233" ht="20.05" customHeight="1" x14ac:dyDescent="0.3"/>
    <row r="234" ht="20.05" customHeight="1" x14ac:dyDescent="0.3"/>
    <row r="235" ht="20.05" customHeight="1" x14ac:dyDescent="0.3"/>
    <row r="236" ht="20.05" customHeight="1" x14ac:dyDescent="0.3"/>
    <row r="237" ht="20.05" customHeight="1" x14ac:dyDescent="0.3"/>
    <row r="238" ht="20.05" customHeight="1" x14ac:dyDescent="0.3"/>
    <row r="239" ht="20.05" customHeight="1" x14ac:dyDescent="0.3"/>
    <row r="240" ht="20.05" customHeight="1" x14ac:dyDescent="0.3"/>
    <row r="241" ht="20.05" customHeight="1" x14ac:dyDescent="0.3"/>
    <row r="242" ht="20.05" customHeight="1" x14ac:dyDescent="0.3"/>
    <row r="243" ht="20.05" customHeight="1" x14ac:dyDescent="0.3"/>
    <row r="244" ht="20.05" customHeight="1" x14ac:dyDescent="0.3"/>
    <row r="245" ht="20.05" customHeight="1" x14ac:dyDescent="0.3"/>
    <row r="246" ht="20.05" customHeight="1" x14ac:dyDescent="0.3"/>
    <row r="247" ht="20.05" customHeight="1" x14ac:dyDescent="0.3"/>
    <row r="248" ht="20.05" customHeight="1" x14ac:dyDescent="0.3"/>
    <row r="249" ht="20.05" customHeight="1" x14ac:dyDescent="0.3"/>
    <row r="250" ht="20.05" customHeight="1" x14ac:dyDescent="0.3"/>
    <row r="251" ht="20.05" customHeight="1" x14ac:dyDescent="0.3"/>
    <row r="252" ht="20.05" customHeight="1" x14ac:dyDescent="0.3"/>
    <row r="253" ht="20.05" customHeight="1" x14ac:dyDescent="0.3"/>
    <row r="254" ht="20.05" customHeight="1" x14ac:dyDescent="0.3"/>
    <row r="255" ht="20.05" customHeight="1" x14ac:dyDescent="0.3"/>
    <row r="256" ht="20.05" customHeight="1" x14ac:dyDescent="0.3"/>
    <row r="257" ht="20.05" customHeight="1" x14ac:dyDescent="0.3"/>
    <row r="258" ht="20.05" customHeight="1" x14ac:dyDescent="0.3"/>
    <row r="259" ht="20.05" customHeight="1" x14ac:dyDescent="0.3"/>
    <row r="260" ht="20.05" customHeight="1" x14ac:dyDescent="0.3"/>
    <row r="261" ht="20.05" customHeight="1" x14ac:dyDescent="0.3"/>
    <row r="262" ht="20.05" customHeight="1" x14ac:dyDescent="0.3"/>
    <row r="263" ht="20.05" customHeight="1" x14ac:dyDescent="0.3"/>
    <row r="264" ht="20.05" customHeight="1" x14ac:dyDescent="0.3"/>
    <row r="265" ht="20.05" customHeight="1" x14ac:dyDescent="0.3"/>
    <row r="266" ht="20.05" customHeight="1" x14ac:dyDescent="0.3"/>
    <row r="267" ht="20.05" customHeight="1" x14ac:dyDescent="0.3"/>
    <row r="268" ht="20.05" customHeight="1" x14ac:dyDescent="0.3"/>
    <row r="269" ht="20.05" customHeight="1" x14ac:dyDescent="0.3"/>
    <row r="270" ht="20.05" customHeight="1" x14ac:dyDescent="0.3"/>
    <row r="271" ht="20.05" customHeight="1" x14ac:dyDescent="0.3"/>
    <row r="272" ht="20.05" customHeight="1" x14ac:dyDescent="0.3"/>
    <row r="273" ht="20.05" customHeight="1" x14ac:dyDescent="0.3"/>
    <row r="274" ht="20.05" customHeight="1" x14ac:dyDescent="0.3"/>
    <row r="275" ht="20.05" customHeight="1" x14ac:dyDescent="0.3"/>
    <row r="276" ht="20.05" customHeight="1" x14ac:dyDescent="0.3"/>
    <row r="277" ht="20.05" customHeight="1" x14ac:dyDescent="0.3"/>
    <row r="278" ht="20.05" customHeight="1" x14ac:dyDescent="0.3"/>
    <row r="279" ht="20.05" customHeight="1" x14ac:dyDescent="0.3"/>
    <row r="280" ht="20.05" customHeight="1" x14ac:dyDescent="0.3"/>
    <row r="281" ht="20.05" customHeight="1" x14ac:dyDescent="0.3"/>
    <row r="282" ht="20.05" customHeight="1" x14ac:dyDescent="0.3"/>
    <row r="283" ht="20.05" customHeight="1" x14ac:dyDescent="0.3"/>
    <row r="284" ht="20.05" customHeight="1" x14ac:dyDescent="0.3"/>
    <row r="285" ht="20.05" customHeight="1" x14ac:dyDescent="0.3"/>
    <row r="286" ht="20.05" customHeight="1" x14ac:dyDescent="0.3"/>
    <row r="287" ht="20.05" customHeight="1" x14ac:dyDescent="0.3"/>
    <row r="288" ht="20.05" customHeight="1" x14ac:dyDescent="0.3"/>
    <row r="289" ht="20.05" customHeight="1" x14ac:dyDescent="0.3"/>
    <row r="290" ht="20.05" customHeight="1" x14ac:dyDescent="0.3"/>
    <row r="291" ht="20.05" customHeight="1" x14ac:dyDescent="0.3"/>
    <row r="292" ht="20.05" customHeight="1" x14ac:dyDescent="0.3"/>
    <row r="293" ht="20.05" customHeight="1" x14ac:dyDescent="0.3"/>
    <row r="294" ht="20.05" customHeight="1" x14ac:dyDescent="0.3"/>
    <row r="295" ht="20.05" customHeight="1" x14ac:dyDescent="0.3"/>
    <row r="296" ht="20.05" customHeight="1" x14ac:dyDescent="0.3"/>
    <row r="297" ht="20.05" customHeight="1" x14ac:dyDescent="0.3"/>
    <row r="298" ht="20.05" customHeight="1" x14ac:dyDescent="0.3"/>
    <row r="299" ht="20.05" customHeight="1" x14ac:dyDescent="0.3"/>
    <row r="300" ht="20.05" customHeight="1" x14ac:dyDescent="0.3"/>
    <row r="301" ht="20.05" customHeight="1" x14ac:dyDescent="0.3"/>
    <row r="302" ht="20.05" customHeight="1" x14ac:dyDescent="0.3"/>
    <row r="303" ht="20.05" customHeight="1" x14ac:dyDescent="0.3"/>
    <row r="304" ht="20.05" customHeight="1" x14ac:dyDescent="0.3"/>
    <row r="305" ht="20.05" customHeight="1" x14ac:dyDescent="0.3"/>
    <row r="306" ht="20.05" customHeight="1" x14ac:dyDescent="0.3"/>
    <row r="307" ht="20.05" customHeight="1" x14ac:dyDescent="0.3"/>
    <row r="308" ht="20.05" customHeight="1" x14ac:dyDescent="0.3"/>
    <row r="309" ht="20.05" customHeight="1" x14ac:dyDescent="0.3"/>
    <row r="310" ht="20.05" customHeight="1" x14ac:dyDescent="0.3"/>
    <row r="311" ht="20.05" customHeight="1" x14ac:dyDescent="0.3"/>
    <row r="312" ht="20.05" customHeight="1" x14ac:dyDescent="0.3"/>
    <row r="313" ht="20.05" customHeight="1" x14ac:dyDescent="0.3"/>
    <row r="314" ht="20.05" customHeight="1" x14ac:dyDescent="0.3"/>
    <row r="315" ht="20.05" customHeight="1" x14ac:dyDescent="0.3"/>
    <row r="316" ht="20.05" customHeight="1" x14ac:dyDescent="0.3"/>
    <row r="317" ht="20.05" customHeight="1" x14ac:dyDescent="0.3"/>
    <row r="318" ht="20.05" customHeight="1" x14ac:dyDescent="0.3"/>
    <row r="319" ht="20.05" customHeight="1" x14ac:dyDescent="0.3"/>
    <row r="320" ht="20.05" customHeight="1" x14ac:dyDescent="0.3"/>
    <row r="321" ht="20.05" customHeight="1" x14ac:dyDescent="0.3"/>
    <row r="322" ht="20.05" customHeight="1" x14ac:dyDescent="0.3"/>
    <row r="323" ht="20.05" customHeight="1" x14ac:dyDescent="0.3"/>
    <row r="324" ht="20.05" customHeight="1" x14ac:dyDescent="0.3"/>
    <row r="325" ht="20.05" customHeight="1" x14ac:dyDescent="0.3"/>
    <row r="326" ht="20.05" customHeight="1" x14ac:dyDescent="0.3"/>
    <row r="327" ht="20.05" customHeight="1" x14ac:dyDescent="0.3"/>
    <row r="328" ht="20.05" customHeight="1" x14ac:dyDescent="0.3"/>
    <row r="329" ht="20.05" customHeight="1" x14ac:dyDescent="0.3"/>
    <row r="330" ht="20.05" customHeight="1" x14ac:dyDescent="0.3"/>
    <row r="331" ht="20.05" customHeight="1" x14ac:dyDescent="0.3"/>
    <row r="332" ht="20.05" customHeight="1" x14ac:dyDescent="0.3"/>
    <row r="333" ht="20.05" customHeight="1" x14ac:dyDescent="0.3"/>
    <row r="334" ht="20.05" customHeight="1" x14ac:dyDescent="0.3"/>
    <row r="335" ht="20.05" customHeight="1" x14ac:dyDescent="0.3"/>
    <row r="336" ht="20.05" customHeight="1" x14ac:dyDescent="0.3"/>
    <row r="337" ht="20.05" customHeight="1" x14ac:dyDescent="0.3"/>
    <row r="338" ht="20.05" customHeight="1" x14ac:dyDescent="0.3"/>
    <row r="339" ht="20.05" customHeight="1" x14ac:dyDescent="0.3"/>
    <row r="340" ht="20.05" customHeight="1" x14ac:dyDescent="0.3"/>
    <row r="341" ht="20.05" customHeight="1" x14ac:dyDescent="0.3"/>
    <row r="342" ht="20.05" customHeight="1" x14ac:dyDescent="0.3"/>
    <row r="343" ht="20.05" customHeight="1" x14ac:dyDescent="0.3"/>
    <row r="344" ht="20.05" customHeight="1" x14ac:dyDescent="0.3"/>
    <row r="345" ht="20.05" customHeight="1" x14ac:dyDescent="0.3"/>
    <row r="346" ht="20.05" customHeight="1" x14ac:dyDescent="0.3"/>
    <row r="347" ht="20.05" customHeight="1" x14ac:dyDescent="0.3"/>
    <row r="348" ht="20.05" customHeight="1" x14ac:dyDescent="0.3"/>
    <row r="349" ht="20.05" customHeight="1" x14ac:dyDescent="0.3"/>
    <row r="350" ht="20.05" customHeight="1" x14ac:dyDescent="0.3"/>
    <row r="351" ht="20.05" customHeight="1" x14ac:dyDescent="0.3"/>
    <row r="352" ht="20.05" customHeight="1" x14ac:dyDescent="0.3"/>
    <row r="353" ht="20.05" customHeight="1" x14ac:dyDescent="0.3"/>
    <row r="354" ht="20.05" customHeight="1" x14ac:dyDescent="0.3"/>
    <row r="355" ht="20.05" customHeight="1" x14ac:dyDescent="0.3"/>
    <row r="356" ht="20.05" customHeight="1" x14ac:dyDescent="0.3"/>
    <row r="357" ht="20.05" customHeight="1" x14ac:dyDescent="0.3"/>
    <row r="358" ht="20.05" customHeight="1" x14ac:dyDescent="0.3"/>
    <row r="359" ht="20.05" customHeight="1" x14ac:dyDescent="0.3"/>
    <row r="360" ht="20.05" customHeight="1" x14ac:dyDescent="0.3"/>
    <row r="361" ht="20.05" customHeight="1" x14ac:dyDescent="0.3"/>
    <row r="362" ht="20.05" customHeight="1" x14ac:dyDescent="0.3"/>
    <row r="363" ht="20.05" customHeight="1" x14ac:dyDescent="0.3"/>
    <row r="364" ht="20.05" customHeight="1" x14ac:dyDescent="0.3"/>
    <row r="365" ht="20.05" customHeight="1" x14ac:dyDescent="0.3"/>
    <row r="366" ht="20.05" customHeight="1" x14ac:dyDescent="0.3"/>
    <row r="367" ht="20.05" customHeight="1" x14ac:dyDescent="0.3"/>
    <row r="368" ht="20.05" customHeight="1" x14ac:dyDescent="0.3"/>
    <row r="369" ht="20.05" customHeight="1" x14ac:dyDescent="0.3"/>
    <row r="370" ht="20.05" customHeight="1" x14ac:dyDescent="0.3"/>
    <row r="371" ht="20.05" customHeight="1" x14ac:dyDescent="0.3"/>
    <row r="372" ht="20.05" customHeight="1" x14ac:dyDescent="0.3"/>
    <row r="373" ht="20.05" customHeight="1" x14ac:dyDescent="0.3"/>
    <row r="374" ht="20.05" customHeight="1" x14ac:dyDescent="0.3"/>
    <row r="375" ht="20.05" customHeight="1" x14ac:dyDescent="0.3"/>
    <row r="376" ht="20.05" customHeight="1" x14ac:dyDescent="0.3"/>
    <row r="377" ht="20.05" customHeight="1" x14ac:dyDescent="0.3"/>
    <row r="378" ht="20.05" customHeight="1" x14ac:dyDescent="0.3"/>
    <row r="379" ht="20.05" customHeight="1" x14ac:dyDescent="0.3"/>
    <row r="380" ht="20.05" customHeight="1" x14ac:dyDescent="0.3"/>
    <row r="381" ht="20.05" customHeight="1" x14ac:dyDescent="0.3"/>
    <row r="382" ht="20.05" customHeight="1" x14ac:dyDescent="0.3"/>
    <row r="383" ht="20.05" customHeight="1" x14ac:dyDescent="0.3"/>
    <row r="384" ht="20.05" customHeight="1" x14ac:dyDescent="0.3"/>
    <row r="385" ht="20.05" customHeight="1" x14ac:dyDescent="0.3"/>
    <row r="386" ht="20.05" customHeight="1" x14ac:dyDescent="0.3"/>
    <row r="387" ht="20.05" customHeight="1" x14ac:dyDescent="0.3"/>
    <row r="388" ht="20.05" customHeight="1" x14ac:dyDescent="0.3"/>
    <row r="389" ht="20.05" customHeight="1" x14ac:dyDescent="0.3"/>
    <row r="390" ht="20.05" customHeight="1" x14ac:dyDescent="0.3"/>
    <row r="391" ht="20.05" customHeight="1" x14ac:dyDescent="0.3"/>
    <row r="392" ht="20.05" customHeight="1" x14ac:dyDescent="0.3"/>
    <row r="393" ht="20.05" customHeight="1" x14ac:dyDescent="0.3"/>
    <row r="394" ht="20.05" customHeight="1" x14ac:dyDescent="0.3"/>
    <row r="395" ht="20.05" customHeight="1" x14ac:dyDescent="0.3"/>
    <row r="396" ht="20.05" customHeight="1" x14ac:dyDescent="0.3"/>
    <row r="397" ht="20.05" customHeight="1" x14ac:dyDescent="0.3"/>
    <row r="398" ht="20.05" customHeight="1" x14ac:dyDescent="0.3"/>
    <row r="399" ht="20.05" customHeight="1" x14ac:dyDescent="0.3"/>
    <row r="400" ht="20.05" customHeight="1" x14ac:dyDescent="0.3"/>
    <row r="401" ht="20.05" customHeight="1" x14ac:dyDescent="0.3"/>
    <row r="402" ht="20.05" customHeight="1" x14ac:dyDescent="0.3"/>
    <row r="403" ht="20.05" customHeight="1" x14ac:dyDescent="0.3"/>
    <row r="404" ht="20.05" customHeight="1" x14ac:dyDescent="0.3"/>
    <row r="405" ht="20.05" customHeight="1" x14ac:dyDescent="0.3"/>
    <row r="406" ht="20.05" customHeight="1" x14ac:dyDescent="0.3"/>
    <row r="407" ht="20.05" customHeight="1" x14ac:dyDescent="0.3"/>
    <row r="408" ht="20.05" customHeight="1" x14ac:dyDescent="0.3"/>
    <row r="409" ht="20.05" customHeight="1" x14ac:dyDescent="0.3"/>
    <row r="410" ht="20.05" customHeight="1" x14ac:dyDescent="0.3"/>
    <row r="411" ht="20.05" customHeight="1" x14ac:dyDescent="0.3"/>
    <row r="412" ht="20.05" customHeight="1" x14ac:dyDescent="0.3"/>
    <row r="413" ht="20.05" customHeight="1" x14ac:dyDescent="0.3"/>
    <row r="414" ht="20.05" customHeight="1" x14ac:dyDescent="0.3"/>
    <row r="415" ht="20.05" customHeight="1" x14ac:dyDescent="0.3"/>
    <row r="416" ht="20.05" customHeight="1" x14ac:dyDescent="0.3"/>
    <row r="417" ht="20.05" customHeight="1" x14ac:dyDescent="0.3"/>
    <row r="418" ht="20.05" customHeight="1" x14ac:dyDescent="0.3"/>
    <row r="419" ht="20.05" customHeight="1" x14ac:dyDescent="0.3"/>
    <row r="420" ht="20.05" customHeight="1" x14ac:dyDescent="0.3"/>
    <row r="421" ht="20.05" customHeight="1" x14ac:dyDescent="0.3"/>
    <row r="422" ht="20.05" customHeight="1" x14ac:dyDescent="0.3"/>
    <row r="423" ht="20.05" customHeight="1" x14ac:dyDescent="0.3"/>
    <row r="424" ht="20.05" customHeight="1" x14ac:dyDescent="0.3"/>
    <row r="425" ht="20.05" customHeight="1" x14ac:dyDescent="0.3"/>
    <row r="426" ht="20.05" customHeight="1" x14ac:dyDescent="0.3"/>
    <row r="427" ht="20.05" customHeight="1" x14ac:dyDescent="0.3"/>
    <row r="428" ht="20.05" customHeight="1" x14ac:dyDescent="0.3"/>
    <row r="429" ht="20.05" customHeight="1" x14ac:dyDescent="0.3"/>
    <row r="430" ht="20.05" customHeight="1" x14ac:dyDescent="0.3"/>
    <row r="431" ht="20.05" customHeight="1" x14ac:dyDescent="0.3"/>
    <row r="432" ht="20.05" customHeight="1" x14ac:dyDescent="0.3"/>
    <row r="433" ht="20.05" customHeight="1" x14ac:dyDescent="0.3"/>
    <row r="434" ht="20.05" customHeight="1" x14ac:dyDescent="0.3"/>
    <row r="435" ht="20.05" customHeight="1" x14ac:dyDescent="0.3"/>
    <row r="436" ht="20.05" customHeight="1" x14ac:dyDescent="0.3"/>
    <row r="437" ht="20.05" customHeight="1" x14ac:dyDescent="0.3"/>
    <row r="438" ht="20.05" customHeight="1" x14ac:dyDescent="0.3"/>
    <row r="439" ht="20.05" customHeight="1" x14ac:dyDescent="0.3"/>
    <row r="440" ht="20.05" customHeight="1" x14ac:dyDescent="0.3"/>
    <row r="441" ht="20.05" customHeight="1" x14ac:dyDescent="0.3"/>
    <row r="442" ht="20.05" customHeight="1" x14ac:dyDescent="0.3"/>
    <row r="443" ht="20.05" customHeight="1" x14ac:dyDescent="0.3"/>
    <row r="444" ht="20.05" customHeight="1" x14ac:dyDescent="0.3"/>
    <row r="445" ht="20.05" customHeight="1" x14ac:dyDescent="0.3"/>
    <row r="446" ht="20.05" customHeight="1" x14ac:dyDescent="0.3"/>
    <row r="447" ht="20.05" customHeight="1" x14ac:dyDescent="0.3"/>
    <row r="448" ht="20.05" customHeight="1" x14ac:dyDescent="0.3"/>
    <row r="449" ht="20.05" customHeight="1" x14ac:dyDescent="0.3"/>
    <row r="450" ht="20.05" customHeight="1" x14ac:dyDescent="0.3"/>
    <row r="451" ht="20.05" customHeight="1" x14ac:dyDescent="0.3"/>
    <row r="452" ht="20.05" customHeight="1" x14ac:dyDescent="0.3"/>
    <row r="453" ht="20.05" customHeight="1" x14ac:dyDescent="0.3"/>
    <row r="454" ht="20.05" customHeight="1" x14ac:dyDescent="0.3"/>
    <row r="455" ht="20.05" customHeight="1" x14ac:dyDescent="0.3"/>
    <row r="456" ht="20.05" customHeight="1" x14ac:dyDescent="0.3"/>
    <row r="457" ht="20.05" customHeight="1" x14ac:dyDescent="0.3"/>
    <row r="458" ht="20.05" customHeight="1" x14ac:dyDescent="0.3"/>
    <row r="459" ht="20.05" customHeight="1" x14ac:dyDescent="0.3"/>
    <row r="460" ht="20.05" customHeight="1" x14ac:dyDescent="0.3"/>
    <row r="461" ht="20.05" customHeight="1" x14ac:dyDescent="0.3"/>
    <row r="462" ht="20.05" customHeight="1" x14ac:dyDescent="0.3"/>
    <row r="463" ht="20.05" customHeight="1" x14ac:dyDescent="0.3"/>
    <row r="464" ht="20.05" customHeight="1" x14ac:dyDescent="0.3"/>
    <row r="465" ht="20.05" customHeight="1" x14ac:dyDescent="0.3"/>
    <row r="466" ht="20.05" customHeight="1" x14ac:dyDescent="0.3"/>
    <row r="467" ht="20.05" customHeight="1" x14ac:dyDescent="0.3"/>
    <row r="468" ht="20.05" customHeight="1" x14ac:dyDescent="0.3"/>
    <row r="469" ht="20.05" customHeight="1" x14ac:dyDescent="0.3"/>
    <row r="470" ht="20.05" customHeight="1" x14ac:dyDescent="0.3"/>
    <row r="471" ht="20.05" customHeight="1" x14ac:dyDescent="0.3"/>
    <row r="472" ht="20.05" customHeight="1" x14ac:dyDescent="0.3"/>
    <row r="473" ht="20.05" customHeight="1" x14ac:dyDescent="0.3"/>
    <row r="474" ht="20.05" customHeight="1" x14ac:dyDescent="0.3"/>
    <row r="475" ht="20.05" customHeight="1" x14ac:dyDescent="0.3"/>
    <row r="476" ht="20.05" customHeight="1" x14ac:dyDescent="0.3"/>
    <row r="477" ht="20.05" customHeight="1" x14ac:dyDescent="0.3"/>
    <row r="478" ht="20.05" customHeight="1" x14ac:dyDescent="0.3"/>
    <row r="479" ht="20.05" customHeight="1" x14ac:dyDescent="0.3"/>
    <row r="480" ht="20.05" customHeight="1" x14ac:dyDescent="0.3"/>
    <row r="481" ht="20.05" customHeight="1" x14ac:dyDescent="0.3"/>
    <row r="482" ht="20.05" customHeight="1" x14ac:dyDescent="0.3"/>
    <row r="483" ht="20.05" customHeight="1" x14ac:dyDescent="0.3"/>
    <row r="484" ht="20.05" customHeight="1" x14ac:dyDescent="0.3"/>
    <row r="485" ht="20.05" customHeight="1" x14ac:dyDescent="0.3"/>
    <row r="486" ht="20.05" customHeight="1" x14ac:dyDescent="0.3"/>
    <row r="487" ht="20.05" customHeight="1" x14ac:dyDescent="0.3"/>
    <row r="488" ht="20.05" customHeight="1" x14ac:dyDescent="0.3"/>
    <row r="489" ht="20.05" customHeight="1" x14ac:dyDescent="0.3"/>
    <row r="490" ht="20.05" customHeight="1" x14ac:dyDescent="0.3"/>
    <row r="491" ht="20.05" customHeight="1" x14ac:dyDescent="0.3"/>
    <row r="492" ht="20.05" customHeight="1" x14ac:dyDescent="0.3"/>
    <row r="493" ht="20.05" customHeight="1" x14ac:dyDescent="0.3"/>
    <row r="494" ht="20.05" customHeight="1" x14ac:dyDescent="0.3"/>
    <row r="495" ht="20.05" customHeight="1" x14ac:dyDescent="0.3"/>
    <row r="496" ht="20.05" customHeight="1" x14ac:dyDescent="0.3"/>
    <row r="497" ht="20.05" customHeight="1" x14ac:dyDescent="0.3"/>
    <row r="498" ht="20.05" customHeight="1" x14ac:dyDescent="0.3"/>
    <row r="499" ht="20.05" customHeight="1" x14ac:dyDescent="0.3"/>
    <row r="500" ht="20.05" customHeight="1" x14ac:dyDescent="0.3"/>
    <row r="501" ht="20.05" customHeight="1" x14ac:dyDescent="0.3"/>
    <row r="502" ht="20.05" customHeight="1" x14ac:dyDescent="0.3"/>
    <row r="503" ht="20.05" customHeight="1" x14ac:dyDescent="0.3"/>
    <row r="504" ht="20.05" customHeight="1" x14ac:dyDescent="0.3"/>
    <row r="505" ht="20.05" customHeight="1" x14ac:dyDescent="0.3"/>
    <row r="506" ht="20.05" customHeight="1" x14ac:dyDescent="0.3"/>
    <row r="507" ht="20.05" customHeight="1" x14ac:dyDescent="0.3"/>
    <row r="508" ht="20.05" customHeight="1" x14ac:dyDescent="0.3"/>
    <row r="509" ht="20.05" customHeight="1" x14ac:dyDescent="0.3"/>
    <row r="510" ht="20.05" customHeight="1" x14ac:dyDescent="0.3"/>
    <row r="511" ht="20.05" customHeight="1" x14ac:dyDescent="0.3"/>
    <row r="512" ht="20.05" customHeight="1" x14ac:dyDescent="0.3"/>
    <row r="513" ht="20.05" customHeight="1" x14ac:dyDescent="0.3"/>
    <row r="514" ht="20.05" customHeight="1" x14ac:dyDescent="0.3"/>
    <row r="515" ht="20.05" customHeight="1" x14ac:dyDescent="0.3"/>
    <row r="516" ht="20.05" customHeight="1" x14ac:dyDescent="0.3"/>
    <row r="517" ht="20.05" customHeight="1" x14ac:dyDescent="0.3"/>
    <row r="518" ht="20.05" customHeight="1" x14ac:dyDescent="0.3"/>
    <row r="519" ht="20.05" customHeight="1" x14ac:dyDescent="0.3"/>
    <row r="520" ht="20.05" customHeight="1" x14ac:dyDescent="0.3"/>
    <row r="521" ht="20.05" customHeight="1" x14ac:dyDescent="0.3"/>
    <row r="522" ht="20.05" customHeight="1" x14ac:dyDescent="0.3"/>
    <row r="523" ht="20.05" customHeight="1" x14ac:dyDescent="0.3"/>
    <row r="524" ht="20.05" customHeight="1" x14ac:dyDescent="0.3"/>
    <row r="525" ht="20.05" customHeight="1" x14ac:dyDescent="0.3"/>
    <row r="526" ht="20.05" customHeight="1" x14ac:dyDescent="0.3"/>
    <row r="527" ht="20.05" customHeight="1" x14ac:dyDescent="0.3"/>
    <row r="528" ht="20.05" customHeight="1" x14ac:dyDescent="0.3"/>
    <row r="529" ht="20.05" customHeight="1" x14ac:dyDescent="0.3"/>
    <row r="530" ht="20.05" customHeight="1" x14ac:dyDescent="0.3"/>
    <row r="531" ht="20.05" customHeight="1" x14ac:dyDescent="0.3"/>
    <row r="532" ht="20.05" customHeight="1" x14ac:dyDescent="0.3"/>
    <row r="533" ht="20.05" customHeight="1" x14ac:dyDescent="0.3"/>
    <row r="534" ht="20.05" customHeight="1" x14ac:dyDescent="0.3"/>
    <row r="535" ht="20.05" customHeight="1" x14ac:dyDescent="0.3"/>
    <row r="536" ht="20.05" customHeight="1" x14ac:dyDescent="0.3"/>
    <row r="537" ht="20.05" customHeight="1" x14ac:dyDescent="0.3"/>
    <row r="538" ht="20.05" customHeight="1" x14ac:dyDescent="0.3"/>
    <row r="539" ht="20.05" customHeight="1" x14ac:dyDescent="0.3"/>
    <row r="540" ht="20.05" customHeight="1" x14ac:dyDescent="0.3"/>
    <row r="541" ht="20.05" customHeight="1" x14ac:dyDescent="0.3"/>
    <row r="542" ht="20.05" customHeight="1" x14ac:dyDescent="0.3"/>
    <row r="543" ht="20.05" customHeight="1" x14ac:dyDescent="0.3"/>
    <row r="544" ht="20.05" customHeight="1" x14ac:dyDescent="0.3"/>
    <row r="545" ht="20.05" customHeight="1" x14ac:dyDescent="0.3"/>
    <row r="546" ht="20.05" customHeight="1" x14ac:dyDescent="0.3"/>
    <row r="547" ht="20.05" customHeight="1" x14ac:dyDescent="0.3"/>
    <row r="548" ht="20.05" customHeight="1" x14ac:dyDescent="0.3"/>
    <row r="549" ht="20.05" customHeight="1" x14ac:dyDescent="0.3"/>
    <row r="550" ht="20.05" customHeight="1" x14ac:dyDescent="0.3"/>
    <row r="551" ht="20.05" customHeight="1" x14ac:dyDescent="0.3"/>
    <row r="552" ht="20.05" customHeight="1" x14ac:dyDescent="0.3"/>
    <row r="553" ht="20.05" customHeight="1" x14ac:dyDescent="0.3"/>
    <row r="554" ht="20.05" customHeight="1" x14ac:dyDescent="0.3"/>
    <row r="555" ht="20.05" customHeight="1" x14ac:dyDescent="0.3"/>
    <row r="556" ht="20.05" customHeight="1" x14ac:dyDescent="0.3"/>
    <row r="557" ht="20.05" customHeight="1" x14ac:dyDescent="0.3"/>
    <row r="558" ht="20.05" customHeight="1" x14ac:dyDescent="0.3"/>
    <row r="559" ht="20.05" customHeight="1" x14ac:dyDescent="0.3"/>
    <row r="560" ht="20.05" customHeight="1" x14ac:dyDescent="0.3"/>
    <row r="561" ht="20.05" customHeight="1" x14ac:dyDescent="0.3"/>
    <row r="562" ht="20.05" customHeight="1" x14ac:dyDescent="0.3"/>
    <row r="563" ht="20.05" customHeight="1" x14ac:dyDescent="0.3"/>
    <row r="564" ht="20.05" customHeight="1" x14ac:dyDescent="0.3"/>
    <row r="565" ht="20.05" customHeight="1" x14ac:dyDescent="0.3"/>
    <row r="566" ht="20.05" customHeight="1" x14ac:dyDescent="0.3"/>
    <row r="567" ht="20.05" customHeight="1" x14ac:dyDescent="0.3"/>
    <row r="568" ht="20.05" customHeight="1" x14ac:dyDescent="0.3"/>
    <row r="569" ht="20.05" customHeight="1" x14ac:dyDescent="0.3"/>
    <row r="570" ht="20.05" customHeight="1" x14ac:dyDescent="0.3"/>
    <row r="571" ht="20.05" customHeight="1" x14ac:dyDescent="0.3"/>
    <row r="572" ht="20.05" customHeight="1" x14ac:dyDescent="0.3"/>
    <row r="573" ht="20.05" customHeight="1" x14ac:dyDescent="0.3"/>
    <row r="574" ht="20.05" customHeight="1" x14ac:dyDescent="0.3"/>
    <row r="575" ht="20.05" customHeight="1" x14ac:dyDescent="0.3"/>
    <row r="576" ht="20.05" customHeight="1" x14ac:dyDescent="0.3"/>
    <row r="577" ht="20.05" customHeight="1" x14ac:dyDescent="0.3"/>
    <row r="578" ht="20.05" customHeight="1" x14ac:dyDescent="0.3"/>
    <row r="579" ht="20.05" customHeight="1" x14ac:dyDescent="0.3"/>
    <row r="580" ht="20.05" customHeight="1" x14ac:dyDescent="0.3"/>
    <row r="581" ht="20.05" customHeight="1" x14ac:dyDescent="0.3"/>
    <row r="582" ht="20.05" customHeight="1" x14ac:dyDescent="0.3"/>
    <row r="583" ht="20.05" customHeight="1" x14ac:dyDescent="0.3"/>
    <row r="584" ht="20.05" customHeight="1" x14ac:dyDescent="0.3"/>
    <row r="585" ht="20.05" customHeight="1" x14ac:dyDescent="0.3"/>
    <row r="586" ht="20.05" customHeight="1" x14ac:dyDescent="0.3"/>
    <row r="587" ht="20.05" customHeight="1" x14ac:dyDescent="0.3"/>
    <row r="588" ht="20.05" customHeight="1" x14ac:dyDescent="0.3"/>
    <row r="589" ht="20.05" customHeight="1" x14ac:dyDescent="0.3"/>
    <row r="590" ht="20.05" customHeight="1" x14ac:dyDescent="0.3"/>
    <row r="591" ht="20.05" customHeight="1" x14ac:dyDescent="0.3"/>
    <row r="592" ht="20.05" customHeight="1" x14ac:dyDescent="0.3"/>
    <row r="593" ht="20.05" customHeight="1" x14ac:dyDescent="0.3"/>
    <row r="594" ht="20.05" customHeight="1" x14ac:dyDescent="0.3"/>
    <row r="595" ht="20.05" customHeight="1" x14ac:dyDescent="0.3"/>
    <row r="596" ht="20.05" customHeight="1" x14ac:dyDescent="0.3"/>
    <row r="597" ht="20.05" customHeight="1" x14ac:dyDescent="0.3"/>
    <row r="598" ht="20.05" customHeight="1" x14ac:dyDescent="0.3"/>
    <row r="599" ht="20.05" customHeight="1" x14ac:dyDescent="0.3"/>
    <row r="600" ht="20.05" customHeight="1" x14ac:dyDescent="0.3"/>
    <row r="601" ht="20.05" customHeight="1" x14ac:dyDescent="0.3"/>
    <row r="602" ht="20.05" customHeight="1" x14ac:dyDescent="0.3"/>
    <row r="603" ht="20.05" customHeight="1" x14ac:dyDescent="0.3"/>
    <row r="604" ht="20.05" customHeight="1" x14ac:dyDescent="0.3"/>
    <row r="605" ht="20.05" customHeight="1" x14ac:dyDescent="0.3"/>
    <row r="606" ht="20.05" customHeight="1" x14ac:dyDescent="0.3"/>
    <row r="607" ht="20.05" customHeight="1" x14ac:dyDescent="0.3"/>
    <row r="608" ht="20.05" customHeight="1" x14ac:dyDescent="0.3"/>
    <row r="609" ht="20.05" customHeight="1" x14ac:dyDescent="0.3"/>
    <row r="610" ht="20.05" customHeight="1" x14ac:dyDescent="0.3"/>
    <row r="611" ht="20.05" customHeight="1" x14ac:dyDescent="0.3"/>
    <row r="612" ht="20.05" customHeight="1" x14ac:dyDescent="0.3"/>
    <row r="613" ht="20.05" customHeight="1" x14ac:dyDescent="0.3"/>
    <row r="614" ht="20.05" customHeight="1" x14ac:dyDescent="0.3"/>
    <row r="615" ht="20.05" customHeight="1" x14ac:dyDescent="0.3"/>
    <row r="616" ht="20.05" customHeight="1" x14ac:dyDescent="0.3"/>
    <row r="617" ht="20.05" customHeight="1" x14ac:dyDescent="0.3"/>
    <row r="618" ht="20.05" customHeight="1" x14ac:dyDescent="0.3"/>
    <row r="619" ht="20.05" customHeight="1" x14ac:dyDescent="0.3"/>
    <row r="620" ht="20.05" customHeight="1" x14ac:dyDescent="0.3"/>
    <row r="621" ht="20.05" customHeight="1" x14ac:dyDescent="0.3"/>
    <row r="622" ht="20.05" customHeight="1" x14ac:dyDescent="0.3"/>
    <row r="623" ht="20.05" customHeight="1" x14ac:dyDescent="0.3"/>
    <row r="624" ht="20.05" customHeight="1" x14ac:dyDescent="0.3"/>
    <row r="625" ht="20.05" customHeight="1" x14ac:dyDescent="0.3"/>
    <row r="626" ht="20.05" customHeight="1" x14ac:dyDescent="0.3"/>
    <row r="627" ht="20.05" customHeight="1" x14ac:dyDescent="0.3"/>
    <row r="628" ht="20.05" customHeight="1" x14ac:dyDescent="0.3"/>
    <row r="629" ht="20.05" customHeight="1" x14ac:dyDescent="0.3"/>
    <row r="630" ht="20.05" customHeight="1" x14ac:dyDescent="0.3"/>
    <row r="631" ht="20.05" customHeight="1" x14ac:dyDescent="0.3"/>
    <row r="632" ht="20.05" customHeight="1" x14ac:dyDescent="0.3"/>
    <row r="633" ht="20.05" customHeight="1" x14ac:dyDescent="0.3"/>
    <row r="634" ht="20.05" customHeight="1" x14ac:dyDescent="0.3"/>
    <row r="635" ht="20.05" customHeight="1" x14ac:dyDescent="0.3"/>
    <row r="636" ht="20.05" customHeight="1" x14ac:dyDescent="0.3"/>
    <row r="637" ht="20.05" customHeight="1" x14ac:dyDescent="0.3"/>
    <row r="638" ht="20.05" customHeight="1" x14ac:dyDescent="0.3"/>
    <row r="639" ht="20.05" customHeight="1" x14ac:dyDescent="0.3"/>
    <row r="640" ht="20.05" customHeight="1" x14ac:dyDescent="0.3"/>
    <row r="641" ht="20.05" customHeight="1" x14ac:dyDescent="0.3"/>
    <row r="642" ht="20.05" customHeight="1" x14ac:dyDescent="0.3"/>
    <row r="643" ht="20.05" customHeight="1" x14ac:dyDescent="0.3"/>
    <row r="644" ht="20.05" customHeight="1" x14ac:dyDescent="0.3"/>
    <row r="645" ht="20.05" customHeight="1" x14ac:dyDescent="0.3"/>
    <row r="646" ht="20.05" customHeight="1" x14ac:dyDescent="0.3"/>
    <row r="647" ht="20.05" customHeight="1" x14ac:dyDescent="0.3"/>
    <row r="648" ht="20.05" customHeight="1" x14ac:dyDescent="0.3"/>
    <row r="649" ht="20.05" customHeight="1" x14ac:dyDescent="0.3"/>
    <row r="650" ht="20.05" customHeight="1" x14ac:dyDescent="0.3"/>
    <row r="651" ht="20.05" customHeight="1" x14ac:dyDescent="0.3"/>
    <row r="652" ht="20.05" customHeight="1" x14ac:dyDescent="0.3"/>
    <row r="653" ht="20.05" customHeight="1" x14ac:dyDescent="0.3"/>
    <row r="654" ht="20.05" customHeight="1" x14ac:dyDescent="0.3"/>
    <row r="655" ht="20.05" customHeight="1" x14ac:dyDescent="0.3"/>
    <row r="656" ht="20.05" customHeight="1" x14ac:dyDescent="0.3"/>
    <row r="657" ht="20.05" customHeight="1" x14ac:dyDescent="0.3"/>
    <row r="658" ht="20.05" customHeight="1" x14ac:dyDescent="0.3"/>
    <row r="659" ht="20.05" customHeight="1" x14ac:dyDescent="0.3"/>
    <row r="660" ht="20.05" customHeight="1" x14ac:dyDescent="0.3"/>
    <row r="661" ht="20.05" customHeight="1" x14ac:dyDescent="0.3"/>
    <row r="662" ht="20.05" customHeight="1" x14ac:dyDescent="0.3"/>
    <row r="663" ht="20.05" customHeight="1" x14ac:dyDescent="0.3"/>
    <row r="664" ht="20.05" customHeight="1" x14ac:dyDescent="0.3"/>
    <row r="665" ht="20.05" customHeight="1" x14ac:dyDescent="0.3"/>
    <row r="666" ht="20.05" customHeight="1" x14ac:dyDescent="0.3"/>
    <row r="667" ht="20.05" customHeight="1" x14ac:dyDescent="0.3"/>
    <row r="668" ht="20.05" customHeight="1" x14ac:dyDescent="0.3"/>
    <row r="669" ht="20.05" customHeight="1" x14ac:dyDescent="0.3"/>
    <row r="670" ht="20.05" customHeight="1" x14ac:dyDescent="0.3"/>
    <row r="671" ht="20.05" customHeight="1" x14ac:dyDescent="0.3"/>
    <row r="672" ht="20.05" customHeight="1" x14ac:dyDescent="0.3"/>
    <row r="673" ht="20.05" customHeight="1" x14ac:dyDescent="0.3"/>
    <row r="674" ht="20.05" customHeight="1" x14ac:dyDescent="0.3"/>
    <row r="675" ht="20.05" customHeight="1" x14ac:dyDescent="0.3"/>
    <row r="676" ht="20.05" customHeight="1" x14ac:dyDescent="0.3"/>
    <row r="677" ht="20.05" customHeight="1" x14ac:dyDescent="0.3"/>
    <row r="678" ht="20.05" customHeight="1" x14ac:dyDescent="0.3"/>
    <row r="679" ht="20.05" customHeight="1" x14ac:dyDescent="0.3"/>
    <row r="680" ht="20.05" customHeight="1" x14ac:dyDescent="0.3"/>
    <row r="681" ht="20.05" customHeight="1" x14ac:dyDescent="0.3"/>
    <row r="682" ht="20.05" customHeight="1" x14ac:dyDescent="0.3"/>
    <row r="683" ht="20.05" customHeight="1" x14ac:dyDescent="0.3"/>
    <row r="684" ht="20.05" customHeight="1" x14ac:dyDescent="0.3"/>
    <row r="685" ht="20.05" customHeight="1" x14ac:dyDescent="0.3"/>
    <row r="686" ht="20.05" customHeight="1" x14ac:dyDescent="0.3"/>
    <row r="687" ht="20.05" customHeight="1" x14ac:dyDescent="0.3"/>
    <row r="688" ht="20.05" customHeight="1" x14ac:dyDescent="0.3"/>
    <row r="689" ht="20.05" customHeight="1" x14ac:dyDescent="0.3"/>
    <row r="690" ht="20.05" customHeight="1" x14ac:dyDescent="0.3"/>
    <row r="691" ht="20.05" customHeight="1" x14ac:dyDescent="0.3"/>
    <row r="692" ht="20.05" customHeight="1" x14ac:dyDescent="0.3"/>
    <row r="693" ht="20.05" customHeight="1" x14ac:dyDescent="0.3"/>
    <row r="694" ht="20.05" customHeight="1" x14ac:dyDescent="0.3"/>
    <row r="695" ht="20.05" customHeight="1" x14ac:dyDescent="0.3"/>
    <row r="696" ht="20.05" customHeight="1" x14ac:dyDescent="0.3"/>
    <row r="697" ht="20.05" customHeight="1" x14ac:dyDescent="0.3"/>
    <row r="698" ht="20.05" customHeight="1" x14ac:dyDescent="0.3"/>
    <row r="699" ht="20.05" customHeight="1" x14ac:dyDescent="0.3"/>
    <row r="700" ht="20.05" customHeight="1" x14ac:dyDescent="0.3"/>
    <row r="701" ht="20.05" customHeight="1" x14ac:dyDescent="0.3"/>
    <row r="702" ht="20.05" customHeight="1" x14ac:dyDescent="0.3"/>
    <row r="703" ht="20.05" customHeight="1" x14ac:dyDescent="0.3"/>
    <row r="704" ht="20.05" customHeight="1" x14ac:dyDescent="0.3"/>
    <row r="705" ht="20.05" customHeight="1" x14ac:dyDescent="0.3"/>
    <row r="706" ht="20.05" customHeight="1" x14ac:dyDescent="0.3"/>
    <row r="707" ht="20.05" customHeight="1" x14ac:dyDescent="0.3"/>
    <row r="708" ht="20.05" customHeight="1" x14ac:dyDescent="0.3"/>
    <row r="709" ht="20.05" customHeight="1" x14ac:dyDescent="0.3"/>
    <row r="710" ht="20.05" customHeight="1" x14ac:dyDescent="0.3"/>
    <row r="711" ht="20.05" customHeight="1" x14ac:dyDescent="0.3"/>
    <row r="712" ht="20.05" customHeight="1" x14ac:dyDescent="0.3"/>
    <row r="713" ht="20.05" customHeight="1" x14ac:dyDescent="0.3"/>
    <row r="714" ht="20.05" customHeight="1" x14ac:dyDescent="0.3"/>
    <row r="715" ht="20.05" customHeight="1" x14ac:dyDescent="0.3"/>
    <row r="716" ht="20.05" customHeight="1" x14ac:dyDescent="0.3"/>
    <row r="717" ht="20.05" customHeight="1" x14ac:dyDescent="0.3"/>
    <row r="718" ht="20.05" customHeight="1" x14ac:dyDescent="0.3"/>
    <row r="719" ht="20.05" customHeight="1" x14ac:dyDescent="0.3"/>
    <row r="720" ht="20.05" customHeight="1" x14ac:dyDescent="0.3"/>
    <row r="721" ht="20.05" customHeight="1" x14ac:dyDescent="0.3"/>
    <row r="722" ht="20.05" customHeight="1" x14ac:dyDescent="0.3"/>
    <row r="723" ht="20.05" customHeight="1" x14ac:dyDescent="0.3"/>
    <row r="724" ht="20.05" customHeight="1" x14ac:dyDescent="0.3"/>
    <row r="725" ht="20.05" customHeight="1" x14ac:dyDescent="0.3"/>
    <row r="726" ht="20.05" customHeight="1" x14ac:dyDescent="0.3"/>
    <row r="727" ht="20.05" customHeight="1" x14ac:dyDescent="0.3"/>
    <row r="728" ht="20.05" customHeight="1" x14ac:dyDescent="0.3"/>
    <row r="729" ht="20.05" customHeight="1" x14ac:dyDescent="0.3"/>
    <row r="730" ht="20.05" customHeight="1" x14ac:dyDescent="0.3"/>
    <row r="731" ht="20.05" customHeight="1" x14ac:dyDescent="0.3"/>
    <row r="732" ht="20.05" customHeight="1" x14ac:dyDescent="0.3"/>
    <row r="733" ht="20.05" customHeight="1" x14ac:dyDescent="0.3"/>
    <row r="734" ht="20.05" customHeight="1" x14ac:dyDescent="0.3"/>
    <row r="735" ht="20.05" customHeight="1" x14ac:dyDescent="0.3"/>
    <row r="736" ht="20.05" customHeight="1" x14ac:dyDescent="0.3"/>
    <row r="737" ht="20.05" customHeight="1" x14ac:dyDescent="0.3"/>
    <row r="738" ht="20.05" customHeight="1" x14ac:dyDescent="0.3"/>
    <row r="739" ht="20.05" customHeight="1" x14ac:dyDescent="0.3"/>
    <row r="740" ht="20.05" customHeight="1" x14ac:dyDescent="0.3"/>
    <row r="741" ht="20.05" customHeight="1" x14ac:dyDescent="0.3"/>
    <row r="742" ht="20.05" customHeight="1" x14ac:dyDescent="0.3"/>
    <row r="743" ht="20.05" customHeight="1" x14ac:dyDescent="0.3"/>
    <row r="744" ht="20.05" customHeight="1" x14ac:dyDescent="0.3"/>
    <row r="745" ht="20.05" customHeight="1" x14ac:dyDescent="0.3"/>
    <row r="746" ht="20.05" customHeight="1" x14ac:dyDescent="0.3"/>
    <row r="747" ht="20.05" customHeight="1" x14ac:dyDescent="0.3"/>
    <row r="748" ht="20.05" customHeight="1" x14ac:dyDescent="0.3"/>
    <row r="749" ht="20.05" customHeight="1" x14ac:dyDescent="0.3"/>
    <row r="750" ht="20.05" customHeight="1" x14ac:dyDescent="0.3"/>
    <row r="751" ht="20.05" customHeight="1" x14ac:dyDescent="0.3"/>
    <row r="752" ht="20.05" customHeight="1" x14ac:dyDescent="0.3"/>
    <row r="753" ht="20.05" customHeight="1" x14ac:dyDescent="0.3"/>
    <row r="754" ht="20.05" customHeight="1" x14ac:dyDescent="0.3"/>
    <row r="755" ht="20.05" customHeight="1" x14ac:dyDescent="0.3"/>
    <row r="756" ht="20.05" customHeight="1" x14ac:dyDescent="0.3"/>
    <row r="757" ht="20.05" customHeight="1" x14ac:dyDescent="0.3"/>
    <row r="758" ht="20.05" customHeight="1" x14ac:dyDescent="0.3"/>
    <row r="759" ht="20.05" customHeight="1" x14ac:dyDescent="0.3"/>
    <row r="760" ht="20.05" customHeight="1" x14ac:dyDescent="0.3"/>
    <row r="761" ht="20.05" customHeight="1" x14ac:dyDescent="0.3"/>
    <row r="762" ht="20.05" customHeight="1" x14ac:dyDescent="0.3"/>
    <row r="763" ht="20.05" customHeight="1" x14ac:dyDescent="0.3"/>
    <row r="764" ht="20.05" customHeight="1" x14ac:dyDescent="0.3"/>
    <row r="765" ht="20.05" customHeight="1" x14ac:dyDescent="0.3"/>
    <row r="766" ht="20.05" customHeight="1" x14ac:dyDescent="0.3"/>
    <row r="767" ht="20.05" customHeight="1" x14ac:dyDescent="0.3"/>
    <row r="768" ht="20.05" customHeight="1" x14ac:dyDescent="0.3"/>
    <row r="769" ht="20.05" customHeight="1" x14ac:dyDescent="0.3"/>
    <row r="770" ht="20.05" customHeight="1" x14ac:dyDescent="0.3"/>
    <row r="771" ht="20.05" customHeight="1" x14ac:dyDescent="0.3"/>
    <row r="772" ht="20.05" customHeight="1" x14ac:dyDescent="0.3"/>
    <row r="773" ht="20.05" customHeight="1" x14ac:dyDescent="0.3"/>
    <row r="774" ht="20.05" customHeight="1" x14ac:dyDescent="0.3"/>
    <row r="775" ht="20.05" customHeight="1" x14ac:dyDescent="0.3"/>
    <row r="776" ht="20.05" customHeight="1" x14ac:dyDescent="0.3"/>
    <row r="777" ht="20.05" customHeight="1" x14ac:dyDescent="0.3"/>
    <row r="778" ht="20.05" customHeight="1" x14ac:dyDescent="0.3"/>
    <row r="779" ht="20.05" customHeight="1" x14ac:dyDescent="0.3"/>
    <row r="780" ht="20.05" customHeight="1" x14ac:dyDescent="0.3"/>
    <row r="781" ht="20.05" customHeight="1" x14ac:dyDescent="0.3"/>
    <row r="782" ht="20.05" customHeight="1" x14ac:dyDescent="0.3"/>
    <row r="783" ht="20.05" customHeight="1" x14ac:dyDescent="0.3"/>
    <row r="784" ht="20.05" customHeight="1" x14ac:dyDescent="0.3"/>
    <row r="785" ht="20.05" customHeight="1" x14ac:dyDescent="0.3"/>
    <row r="786" ht="20.05" customHeight="1" x14ac:dyDescent="0.3"/>
    <row r="787" ht="20.05" customHeight="1" x14ac:dyDescent="0.3"/>
    <row r="788" ht="20.05" customHeight="1" x14ac:dyDescent="0.3"/>
    <row r="789" ht="20.05" customHeight="1" x14ac:dyDescent="0.3"/>
    <row r="790" ht="20.05" customHeight="1" x14ac:dyDescent="0.3"/>
    <row r="791" ht="20.05" customHeight="1" x14ac:dyDescent="0.3"/>
    <row r="792" ht="20.05" customHeight="1" x14ac:dyDescent="0.3"/>
    <row r="793" ht="20.05" customHeight="1" x14ac:dyDescent="0.3"/>
    <row r="794" ht="20.05" customHeight="1" x14ac:dyDescent="0.3"/>
    <row r="795" ht="20.05" customHeight="1" x14ac:dyDescent="0.3"/>
    <row r="796" ht="20.05" customHeight="1" x14ac:dyDescent="0.3"/>
    <row r="797" ht="20.05" customHeight="1" x14ac:dyDescent="0.3"/>
    <row r="798" ht="20.05" customHeight="1" x14ac:dyDescent="0.3"/>
    <row r="799" ht="20.05" customHeight="1" x14ac:dyDescent="0.3"/>
    <row r="800" ht="20.05" customHeight="1" x14ac:dyDescent="0.3"/>
    <row r="801" ht="20.05" customHeight="1" x14ac:dyDescent="0.3"/>
    <row r="802" ht="20.05" customHeight="1" x14ac:dyDescent="0.3"/>
    <row r="803" ht="20.05" customHeight="1" x14ac:dyDescent="0.3"/>
    <row r="804" ht="20.05" customHeight="1" x14ac:dyDescent="0.3"/>
    <row r="805" ht="20.05" customHeight="1" x14ac:dyDescent="0.3"/>
    <row r="806" ht="20.05" customHeight="1" x14ac:dyDescent="0.3"/>
    <row r="807" ht="20.05" customHeight="1" x14ac:dyDescent="0.3"/>
    <row r="808" ht="20.05" customHeight="1" x14ac:dyDescent="0.3"/>
    <row r="809" ht="20.05" customHeight="1" x14ac:dyDescent="0.3"/>
    <row r="810" ht="20.05" customHeight="1" x14ac:dyDescent="0.3"/>
    <row r="811" ht="20.05" customHeight="1" x14ac:dyDescent="0.3"/>
    <row r="812" ht="20.05" customHeight="1" x14ac:dyDescent="0.3"/>
    <row r="813" ht="20.05" customHeight="1" x14ac:dyDescent="0.3"/>
    <row r="814" ht="20.05" customHeight="1" x14ac:dyDescent="0.3"/>
    <row r="815" ht="20.05" customHeight="1" x14ac:dyDescent="0.3"/>
    <row r="816" ht="20.05" customHeight="1" x14ac:dyDescent="0.3"/>
    <row r="817" ht="20.05" customHeight="1" x14ac:dyDescent="0.3"/>
    <row r="818" ht="20.05" customHeight="1" x14ac:dyDescent="0.3"/>
    <row r="819" ht="20.05" customHeight="1" x14ac:dyDescent="0.3"/>
    <row r="820" ht="20.05" customHeight="1" x14ac:dyDescent="0.3"/>
    <row r="821" ht="20.05" customHeight="1" x14ac:dyDescent="0.3"/>
    <row r="822" ht="20.05" customHeight="1" x14ac:dyDescent="0.3"/>
    <row r="823" ht="20.05" customHeight="1" x14ac:dyDescent="0.3"/>
    <row r="824" ht="20.05" customHeight="1" x14ac:dyDescent="0.3"/>
    <row r="825" ht="20.05" customHeight="1" x14ac:dyDescent="0.3"/>
    <row r="826" ht="20.05" customHeight="1" x14ac:dyDescent="0.3"/>
    <row r="827" ht="20.05" customHeight="1" x14ac:dyDescent="0.3"/>
    <row r="828" ht="20.05" customHeight="1" x14ac:dyDescent="0.3"/>
    <row r="829" ht="20.05" customHeight="1" x14ac:dyDescent="0.3"/>
    <row r="830" ht="20.05" customHeight="1" x14ac:dyDescent="0.3"/>
    <row r="831" ht="20.05" customHeight="1" x14ac:dyDescent="0.3"/>
    <row r="832" ht="20.05" customHeight="1" x14ac:dyDescent="0.3"/>
    <row r="833" ht="20.05" customHeight="1" x14ac:dyDescent="0.3"/>
    <row r="834" ht="20.05" customHeight="1" x14ac:dyDescent="0.3"/>
    <row r="835" ht="20.05" customHeight="1" x14ac:dyDescent="0.3"/>
    <row r="836" ht="20.05" customHeight="1" x14ac:dyDescent="0.3"/>
    <row r="837" ht="20.05" customHeight="1" x14ac:dyDescent="0.3"/>
    <row r="838" ht="20.05" customHeight="1" x14ac:dyDescent="0.3"/>
    <row r="839" ht="20.05" customHeight="1" x14ac:dyDescent="0.3"/>
    <row r="840" ht="20.05" customHeight="1" x14ac:dyDescent="0.3"/>
    <row r="841" ht="20.05" customHeight="1" x14ac:dyDescent="0.3"/>
    <row r="842" ht="20.05" customHeight="1" x14ac:dyDescent="0.3"/>
    <row r="843" ht="20.05" customHeight="1" x14ac:dyDescent="0.3"/>
    <row r="844" ht="20.05" customHeight="1" x14ac:dyDescent="0.3"/>
    <row r="845" ht="20.05" customHeight="1" x14ac:dyDescent="0.3"/>
    <row r="846" ht="20.05" customHeight="1" x14ac:dyDescent="0.3"/>
    <row r="847" ht="20.05" customHeight="1" x14ac:dyDescent="0.3"/>
    <row r="848" ht="20.05" customHeight="1" x14ac:dyDescent="0.3"/>
    <row r="849" ht="20.05" customHeight="1" x14ac:dyDescent="0.3"/>
    <row r="850" ht="20.05" customHeight="1" x14ac:dyDescent="0.3"/>
    <row r="851" ht="20.05" customHeight="1" x14ac:dyDescent="0.3"/>
    <row r="852" ht="20.05" customHeight="1" x14ac:dyDescent="0.3"/>
    <row r="853" ht="20.05" customHeight="1" x14ac:dyDescent="0.3"/>
    <row r="854" ht="20.05" customHeight="1" x14ac:dyDescent="0.3"/>
    <row r="855" ht="20.05" customHeight="1" x14ac:dyDescent="0.3"/>
    <row r="856" ht="20.05" customHeight="1" x14ac:dyDescent="0.3"/>
    <row r="857" ht="20.05" customHeight="1" x14ac:dyDescent="0.3"/>
    <row r="858" ht="20.05" customHeight="1" x14ac:dyDescent="0.3"/>
    <row r="859" ht="20.05" customHeight="1" x14ac:dyDescent="0.3"/>
    <row r="860" ht="20.05" customHeight="1" x14ac:dyDescent="0.3"/>
    <row r="861" ht="20.05" customHeight="1" x14ac:dyDescent="0.3"/>
    <row r="862" ht="20.05" customHeight="1" x14ac:dyDescent="0.3"/>
    <row r="863" ht="20.05" customHeight="1" x14ac:dyDescent="0.3"/>
    <row r="864" ht="20.05" customHeight="1" x14ac:dyDescent="0.3"/>
    <row r="865" ht="20.05" customHeight="1" x14ac:dyDescent="0.3"/>
    <row r="866" ht="20.05" customHeight="1" x14ac:dyDescent="0.3"/>
    <row r="867" ht="20.05" customHeight="1" x14ac:dyDescent="0.3"/>
    <row r="868" ht="20.05" customHeight="1" x14ac:dyDescent="0.3"/>
    <row r="869" ht="20.05" customHeight="1" x14ac:dyDescent="0.3"/>
    <row r="870" ht="20.05" customHeight="1" x14ac:dyDescent="0.3"/>
    <row r="871" ht="20.05" customHeight="1" x14ac:dyDescent="0.3"/>
    <row r="872" ht="20.05" customHeight="1" x14ac:dyDescent="0.3"/>
    <row r="873" ht="20.05" customHeight="1" x14ac:dyDescent="0.3"/>
    <row r="874" ht="20.05" customHeight="1" x14ac:dyDescent="0.3"/>
    <row r="875" ht="20.05" customHeight="1" x14ac:dyDescent="0.3"/>
    <row r="876" ht="20.05" customHeight="1" x14ac:dyDescent="0.3"/>
    <row r="877" ht="20.05" customHeight="1" x14ac:dyDescent="0.3"/>
    <row r="878" ht="20.05" customHeight="1" x14ac:dyDescent="0.3"/>
    <row r="879" ht="20.05" customHeight="1" x14ac:dyDescent="0.3"/>
    <row r="880" ht="20.05" customHeight="1" x14ac:dyDescent="0.3"/>
    <row r="881" ht="20.05" customHeight="1" x14ac:dyDescent="0.3"/>
    <row r="882" ht="20.05" customHeight="1" x14ac:dyDescent="0.3"/>
    <row r="883" ht="20.05" customHeight="1" x14ac:dyDescent="0.3"/>
    <row r="884" ht="20.05" customHeight="1" x14ac:dyDescent="0.3"/>
    <row r="885" ht="20.05" customHeight="1" x14ac:dyDescent="0.3"/>
    <row r="886" ht="20.05" customHeight="1" x14ac:dyDescent="0.3"/>
    <row r="887" ht="20.05" customHeight="1" x14ac:dyDescent="0.3"/>
    <row r="888" ht="20.05" customHeight="1" x14ac:dyDescent="0.3"/>
    <row r="889" ht="20.05" customHeight="1" x14ac:dyDescent="0.3"/>
    <row r="890" ht="20.05" customHeight="1" x14ac:dyDescent="0.3"/>
    <row r="891" ht="20.05" customHeight="1" x14ac:dyDescent="0.3"/>
    <row r="892" ht="20.05" customHeight="1" x14ac:dyDescent="0.3"/>
    <row r="893" ht="20.05" customHeight="1" x14ac:dyDescent="0.3"/>
    <row r="894" ht="20.05" customHeight="1" x14ac:dyDescent="0.3"/>
    <row r="895" ht="20.05" customHeight="1" x14ac:dyDescent="0.3"/>
    <row r="896" ht="20.05" customHeight="1" x14ac:dyDescent="0.3"/>
    <row r="897" ht="20.05" customHeight="1" x14ac:dyDescent="0.3"/>
    <row r="898" ht="20.05" customHeight="1" x14ac:dyDescent="0.3"/>
    <row r="899" ht="20.05" customHeight="1" x14ac:dyDescent="0.3"/>
    <row r="900" ht="20.05" customHeight="1" x14ac:dyDescent="0.3"/>
    <row r="901" ht="20.05" customHeight="1" x14ac:dyDescent="0.3"/>
    <row r="902" ht="20.05" customHeight="1" x14ac:dyDescent="0.3"/>
    <row r="903" ht="20.05" customHeight="1" x14ac:dyDescent="0.3"/>
    <row r="904" ht="20.05" customHeight="1" x14ac:dyDescent="0.3"/>
    <row r="905" ht="20.05" customHeight="1" x14ac:dyDescent="0.3"/>
    <row r="906" ht="20.05" customHeight="1" x14ac:dyDescent="0.3"/>
    <row r="907" ht="20.05" customHeight="1" x14ac:dyDescent="0.3"/>
    <row r="908" ht="20.05" customHeight="1" x14ac:dyDescent="0.3"/>
    <row r="909" ht="20.05" customHeight="1" x14ac:dyDescent="0.3"/>
    <row r="910" ht="20.05" customHeight="1" x14ac:dyDescent="0.3"/>
    <row r="911" ht="20.05" customHeight="1" x14ac:dyDescent="0.3"/>
    <row r="912" ht="20.05" customHeight="1" x14ac:dyDescent="0.3"/>
    <row r="913" ht="20.05" customHeight="1" x14ac:dyDescent="0.3"/>
    <row r="914" ht="20.05" customHeight="1" x14ac:dyDescent="0.3"/>
    <row r="915" ht="20.05" customHeight="1" x14ac:dyDescent="0.3"/>
    <row r="916" ht="20.05" customHeight="1" x14ac:dyDescent="0.3"/>
    <row r="917" ht="20.05" customHeight="1" x14ac:dyDescent="0.3"/>
    <row r="918" ht="20.05" customHeight="1" x14ac:dyDescent="0.3"/>
    <row r="919" ht="20.05" customHeight="1" x14ac:dyDescent="0.3"/>
    <row r="920" ht="20.05" customHeight="1" x14ac:dyDescent="0.3"/>
    <row r="921" ht="20.05" customHeight="1" x14ac:dyDescent="0.3"/>
    <row r="922" ht="20.05" customHeight="1" x14ac:dyDescent="0.3"/>
    <row r="923" ht="20.05" customHeight="1" x14ac:dyDescent="0.3"/>
    <row r="924" ht="20.05" customHeight="1" x14ac:dyDescent="0.3"/>
    <row r="925" ht="20.05" customHeight="1" x14ac:dyDescent="0.3"/>
    <row r="926" ht="20.05" customHeight="1" x14ac:dyDescent="0.3"/>
    <row r="927" ht="20.05" customHeight="1" x14ac:dyDescent="0.3"/>
    <row r="928" ht="20.05" customHeight="1" x14ac:dyDescent="0.3"/>
    <row r="929" ht="20.05" customHeight="1" x14ac:dyDescent="0.3"/>
    <row r="930" ht="20.05" customHeight="1" x14ac:dyDescent="0.3"/>
    <row r="931" ht="20.05" customHeight="1" x14ac:dyDescent="0.3"/>
    <row r="932" ht="20.05" customHeight="1" x14ac:dyDescent="0.3"/>
    <row r="933" ht="20.05" customHeight="1" x14ac:dyDescent="0.3"/>
    <row r="934" ht="20.05" customHeight="1" x14ac:dyDescent="0.3"/>
    <row r="935" ht="20.05" customHeight="1" x14ac:dyDescent="0.3"/>
    <row r="936" ht="20.05" customHeight="1" x14ac:dyDescent="0.3"/>
    <row r="937" ht="20.05" customHeight="1" x14ac:dyDescent="0.3"/>
    <row r="938" ht="20.05" customHeight="1" x14ac:dyDescent="0.3"/>
    <row r="939" ht="20.05" customHeight="1" x14ac:dyDescent="0.3"/>
    <row r="940" ht="20.05" customHeight="1" x14ac:dyDescent="0.3"/>
    <row r="941" ht="20.05" customHeight="1" x14ac:dyDescent="0.3"/>
    <row r="942" ht="20.05" customHeight="1" x14ac:dyDescent="0.3"/>
    <row r="943" ht="20.05" customHeight="1" x14ac:dyDescent="0.3"/>
    <row r="944" ht="20.05" customHeight="1" x14ac:dyDescent="0.3"/>
    <row r="945" ht="20.05" customHeight="1" x14ac:dyDescent="0.3"/>
    <row r="946" ht="20.05" customHeight="1" x14ac:dyDescent="0.3"/>
    <row r="947" ht="20.05" customHeight="1" x14ac:dyDescent="0.3"/>
    <row r="948" ht="20.05" customHeight="1" x14ac:dyDescent="0.3"/>
    <row r="949" ht="20.05" customHeight="1" x14ac:dyDescent="0.3"/>
    <row r="950" ht="20.05" customHeight="1" x14ac:dyDescent="0.3"/>
    <row r="951" ht="20.05" customHeight="1" x14ac:dyDescent="0.3"/>
    <row r="952" ht="20.05" customHeight="1" x14ac:dyDescent="0.3"/>
    <row r="953" ht="20.05" customHeight="1" x14ac:dyDescent="0.3"/>
    <row r="954" ht="20.05" customHeight="1" x14ac:dyDescent="0.3"/>
    <row r="955" ht="20.05" customHeight="1" x14ac:dyDescent="0.3"/>
    <row r="956" ht="20.05" customHeight="1" x14ac:dyDescent="0.3"/>
    <row r="957" ht="20.05" customHeight="1" x14ac:dyDescent="0.3"/>
    <row r="958" ht="20.05" customHeight="1" x14ac:dyDescent="0.3"/>
    <row r="959" ht="20.05" customHeight="1" x14ac:dyDescent="0.3"/>
    <row r="960" ht="20.05" customHeight="1" x14ac:dyDescent="0.3"/>
    <row r="961" ht="20.05" customHeight="1" x14ac:dyDescent="0.3"/>
    <row r="962" ht="20.05" customHeight="1" x14ac:dyDescent="0.3"/>
    <row r="963" ht="20.05" customHeight="1" x14ac:dyDescent="0.3"/>
    <row r="964" ht="20.05" customHeight="1" x14ac:dyDescent="0.3"/>
    <row r="965" ht="20.05" customHeight="1" x14ac:dyDescent="0.3"/>
    <row r="966" ht="20.05" customHeight="1" x14ac:dyDescent="0.3"/>
    <row r="967" ht="20.05" customHeight="1" x14ac:dyDescent="0.3"/>
    <row r="968" ht="20.05" customHeight="1" x14ac:dyDescent="0.3"/>
    <row r="969" ht="20.05" customHeight="1" x14ac:dyDescent="0.3"/>
    <row r="970" ht="20.05" customHeight="1" x14ac:dyDescent="0.3"/>
    <row r="971" ht="20.05" customHeight="1" x14ac:dyDescent="0.3"/>
    <row r="972" ht="20.05" customHeight="1" x14ac:dyDescent="0.3"/>
    <row r="973" ht="20.05" customHeight="1" x14ac:dyDescent="0.3"/>
    <row r="974" ht="20.05" customHeight="1" x14ac:dyDescent="0.3"/>
    <row r="975" ht="20.05" customHeight="1" x14ac:dyDescent="0.3"/>
    <row r="976" ht="20.05" customHeight="1" x14ac:dyDescent="0.3"/>
    <row r="977" ht="20.05" customHeight="1" x14ac:dyDescent="0.3"/>
    <row r="978" ht="20.05" customHeight="1" x14ac:dyDescent="0.3"/>
    <row r="979" ht="20.05" customHeight="1" x14ac:dyDescent="0.3"/>
    <row r="980" ht="20.05" customHeight="1" x14ac:dyDescent="0.3"/>
    <row r="981" ht="20.05" customHeight="1" x14ac:dyDescent="0.3"/>
    <row r="982" ht="20.05" customHeight="1" x14ac:dyDescent="0.3"/>
    <row r="983" ht="20.05" customHeight="1" x14ac:dyDescent="0.3"/>
    <row r="984" ht="20.05" customHeight="1" x14ac:dyDescent="0.3"/>
    <row r="985" ht="20.05" customHeight="1" x14ac:dyDescent="0.3"/>
    <row r="986" ht="20.05" customHeight="1" x14ac:dyDescent="0.3"/>
    <row r="987" ht="20.05" customHeight="1" x14ac:dyDescent="0.3"/>
    <row r="988" ht="20.05" customHeight="1" x14ac:dyDescent="0.3"/>
    <row r="989" ht="20.05" customHeight="1" x14ac:dyDescent="0.3"/>
    <row r="990" ht="20.05" customHeight="1" x14ac:dyDescent="0.3"/>
    <row r="991" ht="20.05" customHeight="1" x14ac:dyDescent="0.3"/>
    <row r="992" ht="20.05" customHeight="1" x14ac:dyDescent="0.3"/>
    <row r="993" ht="20.05" customHeight="1" x14ac:dyDescent="0.3"/>
    <row r="994" ht="20.05" customHeight="1" x14ac:dyDescent="0.3"/>
    <row r="995" ht="20.05" customHeight="1" x14ac:dyDescent="0.3"/>
    <row r="996" ht="20.05" customHeight="1" x14ac:dyDescent="0.3"/>
    <row r="997" ht="20.05" customHeight="1" x14ac:dyDescent="0.3"/>
    <row r="998" ht="20.05" customHeight="1" x14ac:dyDescent="0.3"/>
    <row r="999" ht="20.05" customHeight="1" x14ac:dyDescent="0.3"/>
    <row r="1000" ht="20.05" customHeight="1" x14ac:dyDescent="0.3"/>
    <row r="1001" ht="20.05" customHeight="1" x14ac:dyDescent="0.3"/>
    <row r="1002" ht="20.05" customHeight="1" x14ac:dyDescent="0.3"/>
    <row r="1003" ht="20.05" customHeight="1" x14ac:dyDescent="0.3"/>
    <row r="1004" ht="20.05" customHeight="1" x14ac:dyDescent="0.3"/>
    <row r="1005" ht="20.05" customHeight="1" x14ac:dyDescent="0.3"/>
    <row r="1006" ht="20.05" customHeight="1" x14ac:dyDescent="0.3"/>
    <row r="1007" ht="20.05" customHeight="1" x14ac:dyDescent="0.3"/>
    <row r="1008" ht="20.05" customHeight="1" x14ac:dyDescent="0.3"/>
    <row r="1009" ht="20.05" customHeight="1" x14ac:dyDescent="0.3"/>
    <row r="1010" ht="20.05" customHeight="1" x14ac:dyDescent="0.3"/>
    <row r="1011" ht="20.05" customHeight="1" x14ac:dyDescent="0.3"/>
    <row r="1012" ht="20.05" customHeight="1" x14ac:dyDescent="0.3"/>
    <row r="1013" ht="20.05" customHeight="1" x14ac:dyDescent="0.3"/>
    <row r="1014" ht="20.05" customHeight="1" x14ac:dyDescent="0.3"/>
    <row r="1015" ht="20.05" customHeight="1" x14ac:dyDescent="0.3"/>
    <row r="1016" ht="20.05" customHeight="1" x14ac:dyDescent="0.3"/>
    <row r="1017" ht="20.05" customHeight="1" x14ac:dyDescent="0.3"/>
    <row r="1018" ht="20.05" customHeight="1" x14ac:dyDescent="0.3"/>
    <row r="1019" ht="20.05" customHeight="1" x14ac:dyDescent="0.3"/>
    <row r="1020" ht="20.05" customHeight="1" x14ac:dyDescent="0.3"/>
    <row r="1021" ht="20.05" customHeight="1" x14ac:dyDescent="0.3"/>
    <row r="1022" ht="20.05" customHeight="1" x14ac:dyDescent="0.3"/>
    <row r="1023" ht="20.05" customHeight="1" x14ac:dyDescent="0.3"/>
    <row r="1024" ht="20.05" customHeight="1" x14ac:dyDescent="0.3"/>
    <row r="1025" ht="20.05" customHeight="1" x14ac:dyDescent="0.3"/>
    <row r="1026" ht="20.05" customHeight="1" x14ac:dyDescent="0.3"/>
    <row r="1027" ht="20.05" customHeight="1" x14ac:dyDescent="0.3"/>
    <row r="1028" ht="20.05" customHeight="1" x14ac:dyDescent="0.3"/>
    <row r="1029" ht="20.05" customHeight="1" x14ac:dyDescent="0.3"/>
    <row r="1030" ht="20.05" customHeight="1" x14ac:dyDescent="0.3"/>
    <row r="1031" ht="20.05" customHeight="1" x14ac:dyDescent="0.3"/>
    <row r="1032" ht="20.05" customHeight="1" x14ac:dyDescent="0.3"/>
    <row r="1033" ht="20.05" customHeight="1" x14ac:dyDescent="0.3"/>
    <row r="1034" ht="20.05" customHeight="1" x14ac:dyDescent="0.3"/>
    <row r="1035" ht="20.05" customHeight="1" x14ac:dyDescent="0.3"/>
    <row r="1036" ht="20.05" customHeight="1" x14ac:dyDescent="0.3"/>
    <row r="1037" ht="20.05" customHeight="1" x14ac:dyDescent="0.3"/>
    <row r="1038" ht="20.05" customHeight="1" x14ac:dyDescent="0.3"/>
    <row r="1039" ht="20.05" customHeight="1" x14ac:dyDescent="0.3"/>
    <row r="1040" ht="20.05" customHeight="1" x14ac:dyDescent="0.3"/>
    <row r="1041" ht="20.05" customHeight="1" x14ac:dyDescent="0.3"/>
    <row r="1042" ht="20.05" customHeight="1" x14ac:dyDescent="0.3"/>
    <row r="1043" ht="20.05" customHeight="1" x14ac:dyDescent="0.3"/>
    <row r="1044" ht="20.05" customHeight="1" x14ac:dyDescent="0.3"/>
    <row r="1045" ht="20.05" customHeight="1" x14ac:dyDescent="0.3"/>
    <row r="1046" ht="20.05" customHeight="1" x14ac:dyDescent="0.3"/>
    <row r="1047" ht="20.05" customHeight="1" x14ac:dyDescent="0.3"/>
    <row r="1048" ht="20.05" customHeight="1" x14ac:dyDescent="0.3"/>
    <row r="1049" ht="20.05" customHeight="1" x14ac:dyDescent="0.3"/>
    <row r="1050" ht="20.05" customHeight="1" x14ac:dyDescent="0.3"/>
    <row r="1051" ht="20.05" customHeight="1" x14ac:dyDescent="0.3"/>
    <row r="1052" ht="20.05" customHeight="1" x14ac:dyDescent="0.3"/>
    <row r="1053" ht="20.05" customHeight="1" x14ac:dyDescent="0.3"/>
    <row r="1054" ht="20.05" customHeight="1" x14ac:dyDescent="0.3"/>
    <row r="1055" ht="20.05" customHeight="1" x14ac:dyDescent="0.3"/>
    <row r="1056" ht="20.05" customHeight="1" x14ac:dyDescent="0.3"/>
    <row r="1057" ht="20.05" customHeight="1" x14ac:dyDescent="0.3"/>
    <row r="1058" ht="20.05" customHeight="1" x14ac:dyDescent="0.3"/>
    <row r="1059" ht="20.05" customHeight="1" x14ac:dyDescent="0.3"/>
    <row r="1060" ht="20.05" customHeight="1" x14ac:dyDescent="0.3"/>
    <row r="1061" ht="20.05" customHeight="1" x14ac:dyDescent="0.3"/>
    <row r="1062" ht="20.05" customHeight="1" x14ac:dyDescent="0.3"/>
    <row r="1063" ht="20.05" customHeight="1" x14ac:dyDescent="0.3"/>
    <row r="1064" ht="20.05" customHeight="1" x14ac:dyDescent="0.3"/>
    <row r="1065" ht="20.05" customHeight="1" x14ac:dyDescent="0.3"/>
    <row r="1066" ht="20.05" customHeight="1" x14ac:dyDescent="0.3"/>
    <row r="1067" ht="20.05" customHeight="1" x14ac:dyDescent="0.3"/>
    <row r="1068" ht="20.05" customHeight="1" x14ac:dyDescent="0.3"/>
    <row r="1069" ht="20.05" customHeight="1" x14ac:dyDescent="0.3"/>
    <row r="1070" ht="20.05" customHeight="1" x14ac:dyDescent="0.3"/>
    <row r="1071" ht="20.05" customHeight="1" x14ac:dyDescent="0.3"/>
    <row r="1072" ht="20.05" customHeight="1" x14ac:dyDescent="0.3"/>
    <row r="1073" ht="20.05" customHeight="1" x14ac:dyDescent="0.3"/>
    <row r="1074" ht="20.05" customHeight="1" x14ac:dyDescent="0.3"/>
    <row r="1075" ht="20.05" customHeight="1" x14ac:dyDescent="0.3"/>
    <row r="1076" ht="20.05" customHeight="1" x14ac:dyDescent="0.3"/>
    <row r="1077" ht="20.05" customHeight="1" x14ac:dyDescent="0.3"/>
    <row r="1078" ht="20.05" customHeight="1" x14ac:dyDescent="0.3"/>
    <row r="1079" ht="20.05" customHeight="1" x14ac:dyDescent="0.3"/>
    <row r="1080" ht="20.05" customHeight="1" x14ac:dyDescent="0.3"/>
    <row r="1081" ht="20.05" customHeight="1" x14ac:dyDescent="0.3"/>
    <row r="1082" ht="20.05" customHeight="1" x14ac:dyDescent="0.3"/>
    <row r="1083" ht="20.05" customHeight="1" x14ac:dyDescent="0.3"/>
    <row r="1084" ht="20.05" customHeight="1" x14ac:dyDescent="0.3"/>
    <row r="1085" ht="20.05" customHeight="1" x14ac:dyDescent="0.3"/>
    <row r="1086" ht="20.05" customHeight="1" x14ac:dyDescent="0.3"/>
    <row r="1087" ht="20.05" customHeight="1" x14ac:dyDescent="0.3"/>
    <row r="1088" ht="20.05" customHeight="1" x14ac:dyDescent="0.3"/>
    <row r="1089" ht="20.05" customHeight="1" x14ac:dyDescent="0.3"/>
    <row r="1090" ht="20.05" customHeight="1" x14ac:dyDescent="0.3"/>
    <row r="1091" ht="20.05" customHeight="1" x14ac:dyDescent="0.3"/>
    <row r="1092" ht="20.05" customHeight="1" x14ac:dyDescent="0.3"/>
    <row r="1093" ht="20.05" customHeight="1" x14ac:dyDescent="0.3"/>
    <row r="1094" ht="20.05" customHeight="1" x14ac:dyDescent="0.3"/>
    <row r="1095" ht="20.05" customHeight="1" x14ac:dyDescent="0.3"/>
    <row r="1096" ht="20.05" customHeight="1" x14ac:dyDescent="0.3"/>
    <row r="1097" ht="20.05" customHeight="1" x14ac:dyDescent="0.3"/>
    <row r="1098" ht="20.05" customHeight="1" x14ac:dyDescent="0.3"/>
    <row r="1099" ht="20.05" customHeight="1" x14ac:dyDescent="0.3"/>
    <row r="1100" ht="20.05" customHeight="1" x14ac:dyDescent="0.3"/>
    <row r="1101" ht="20.05" customHeight="1" x14ac:dyDescent="0.3"/>
    <row r="1102" ht="20.05" customHeight="1" x14ac:dyDescent="0.3"/>
    <row r="1103" ht="20.05" customHeight="1" x14ac:dyDescent="0.3"/>
    <row r="1104" ht="20.05" customHeight="1" x14ac:dyDescent="0.3"/>
    <row r="1105" ht="20.05" customHeight="1" x14ac:dyDescent="0.3"/>
    <row r="1106" ht="20.05" customHeight="1" x14ac:dyDescent="0.3"/>
    <row r="1107" ht="20.05" customHeight="1" x14ac:dyDescent="0.3"/>
    <row r="1108" ht="20.05" customHeight="1" x14ac:dyDescent="0.3"/>
    <row r="1109" ht="20.05" customHeight="1" x14ac:dyDescent="0.3"/>
    <row r="1110" ht="20.05" customHeight="1" x14ac:dyDescent="0.3"/>
    <row r="1111" ht="20.05" customHeight="1" x14ac:dyDescent="0.3"/>
    <row r="1112" ht="20.05" customHeight="1" x14ac:dyDescent="0.3"/>
    <row r="1113" ht="20.05" customHeight="1" x14ac:dyDescent="0.3"/>
    <row r="1114" ht="20.05" customHeight="1" x14ac:dyDescent="0.3"/>
    <row r="1115" ht="20.05" customHeight="1" x14ac:dyDescent="0.3"/>
    <row r="1116" ht="20.05" customHeight="1" x14ac:dyDescent="0.3"/>
    <row r="1117" ht="20.05" customHeight="1" x14ac:dyDescent="0.3"/>
    <row r="1118" ht="20.05" customHeight="1" x14ac:dyDescent="0.3"/>
    <row r="1119" ht="20.05" customHeight="1" x14ac:dyDescent="0.3"/>
    <row r="1120" ht="20.05" customHeight="1" x14ac:dyDescent="0.3"/>
    <row r="1121" ht="20.05" customHeight="1" x14ac:dyDescent="0.3"/>
    <row r="1122" ht="20.05" customHeight="1" x14ac:dyDescent="0.3"/>
    <row r="1123" ht="20.05" customHeight="1" x14ac:dyDescent="0.3"/>
    <row r="1124" ht="20.05" customHeight="1" x14ac:dyDescent="0.3"/>
    <row r="1125" ht="20.05" customHeight="1" x14ac:dyDescent="0.3"/>
    <row r="1126" ht="20.05" customHeight="1" x14ac:dyDescent="0.3"/>
    <row r="1127" ht="20.05" customHeight="1" x14ac:dyDescent="0.3"/>
    <row r="1128" ht="20.05" customHeight="1" x14ac:dyDescent="0.3"/>
    <row r="1129" ht="20.05" customHeight="1" x14ac:dyDescent="0.3"/>
    <row r="1130" ht="20.05" customHeight="1" x14ac:dyDescent="0.3"/>
    <row r="1131" ht="20.05" customHeight="1" x14ac:dyDescent="0.3"/>
    <row r="1132" ht="20.05" customHeight="1" x14ac:dyDescent="0.3"/>
    <row r="1133" ht="20.05" customHeight="1" x14ac:dyDescent="0.3"/>
    <row r="1134" ht="20.05" customHeight="1" x14ac:dyDescent="0.3"/>
    <row r="1135" ht="20.05" customHeight="1" x14ac:dyDescent="0.3"/>
    <row r="1136" ht="20.05" customHeight="1" x14ac:dyDescent="0.3"/>
    <row r="1137" ht="20.05" customHeight="1" x14ac:dyDescent="0.3"/>
    <row r="1138" ht="20.05" customHeight="1" x14ac:dyDescent="0.3"/>
    <row r="1139" ht="20.05" customHeight="1" x14ac:dyDescent="0.3"/>
    <row r="1140" ht="20.05" customHeight="1" x14ac:dyDescent="0.3"/>
    <row r="1141" ht="20.05" customHeight="1" x14ac:dyDescent="0.3"/>
    <row r="1142" ht="20.05" customHeight="1" x14ac:dyDescent="0.3"/>
    <row r="1143" ht="20.05" customHeight="1" x14ac:dyDescent="0.3"/>
    <row r="1144" ht="20.05" customHeight="1" x14ac:dyDescent="0.3"/>
    <row r="1145" ht="20.05" customHeight="1" x14ac:dyDescent="0.3"/>
    <row r="1146" ht="20.05" customHeight="1" x14ac:dyDescent="0.3"/>
    <row r="1147" ht="20.05" customHeight="1" x14ac:dyDescent="0.3"/>
    <row r="1148" ht="20.05" customHeight="1" x14ac:dyDescent="0.3"/>
    <row r="1149" ht="20.05" customHeight="1" x14ac:dyDescent="0.3"/>
    <row r="1150" ht="20.05" customHeight="1" x14ac:dyDescent="0.3"/>
    <row r="1151" ht="20.05" customHeight="1" x14ac:dyDescent="0.3"/>
    <row r="1152" ht="20.05" customHeight="1" x14ac:dyDescent="0.3"/>
    <row r="1153" ht="20.05" customHeight="1" x14ac:dyDescent="0.3"/>
    <row r="1154" ht="20.05" customHeight="1" x14ac:dyDescent="0.3"/>
    <row r="1155" ht="20.05" customHeight="1" x14ac:dyDescent="0.3"/>
    <row r="1156" ht="20.05" customHeight="1" x14ac:dyDescent="0.3"/>
    <row r="1157" ht="20.05" customHeight="1" x14ac:dyDescent="0.3"/>
    <row r="1158" ht="20.05" customHeight="1" x14ac:dyDescent="0.3"/>
    <row r="1159" ht="20.05" customHeight="1" x14ac:dyDescent="0.3"/>
    <row r="1160" ht="20.05" customHeight="1" x14ac:dyDescent="0.3"/>
    <row r="1161" ht="20.05" customHeight="1" x14ac:dyDescent="0.3"/>
    <row r="1162" ht="20.05" customHeight="1" x14ac:dyDescent="0.3"/>
    <row r="1163" ht="20.05" customHeight="1" x14ac:dyDescent="0.3"/>
    <row r="1164" ht="20.05" customHeight="1" x14ac:dyDescent="0.3"/>
    <row r="1165" ht="20.05" customHeight="1" x14ac:dyDescent="0.3"/>
    <row r="1166" ht="20.05" customHeight="1" x14ac:dyDescent="0.3"/>
    <row r="1167" ht="20.05" customHeight="1" x14ac:dyDescent="0.3"/>
    <row r="1168" ht="20.05" customHeight="1" x14ac:dyDescent="0.3"/>
    <row r="1169" ht="20.05" customHeight="1" x14ac:dyDescent="0.3"/>
    <row r="1170" ht="20.05" customHeight="1" x14ac:dyDescent="0.3"/>
    <row r="1171" ht="20.05" customHeight="1" x14ac:dyDescent="0.3"/>
    <row r="1172" ht="20.05" customHeight="1" x14ac:dyDescent="0.3"/>
    <row r="1173" ht="20.05" customHeight="1" x14ac:dyDescent="0.3"/>
    <row r="1174" ht="20.05" customHeight="1" x14ac:dyDescent="0.3"/>
    <row r="1175" ht="20.05" customHeight="1" x14ac:dyDescent="0.3"/>
    <row r="1176" ht="20.05" customHeight="1" x14ac:dyDescent="0.3"/>
    <row r="1177" ht="20.05" customHeight="1" x14ac:dyDescent="0.3"/>
    <row r="1178" ht="20.05" customHeight="1" x14ac:dyDescent="0.3"/>
    <row r="1179" ht="20.05" customHeight="1" x14ac:dyDescent="0.3"/>
    <row r="1180" ht="20.05" customHeight="1" x14ac:dyDescent="0.3"/>
    <row r="1181" ht="20.05" customHeight="1" x14ac:dyDescent="0.3"/>
    <row r="1182" ht="20.05" customHeight="1" x14ac:dyDescent="0.3"/>
    <row r="1183" ht="20.05" customHeight="1" x14ac:dyDescent="0.3"/>
    <row r="1184" ht="20.05" customHeight="1" x14ac:dyDescent="0.3"/>
    <row r="1185" ht="20.05" customHeight="1" x14ac:dyDescent="0.3"/>
    <row r="1186" ht="20.05" customHeight="1" x14ac:dyDescent="0.3"/>
    <row r="1187" ht="20.05" customHeight="1" x14ac:dyDescent="0.3"/>
    <row r="1188" ht="20.05" customHeight="1" x14ac:dyDescent="0.3"/>
    <row r="1189" ht="20.05" customHeight="1" x14ac:dyDescent="0.3"/>
    <row r="1190" ht="20.05" customHeight="1" x14ac:dyDescent="0.3"/>
    <row r="1191" ht="20.05" customHeight="1" x14ac:dyDescent="0.3"/>
    <row r="1192" ht="20.05" customHeight="1" x14ac:dyDescent="0.3"/>
    <row r="1193" ht="20.05" customHeight="1" x14ac:dyDescent="0.3"/>
    <row r="1194" ht="20.05" customHeight="1" x14ac:dyDescent="0.3"/>
    <row r="1195" ht="20.05" customHeight="1" x14ac:dyDescent="0.3"/>
    <row r="1196" ht="20.05" customHeight="1" x14ac:dyDescent="0.3"/>
    <row r="1197" ht="20.05" customHeight="1" x14ac:dyDescent="0.3"/>
    <row r="1198" ht="20.05" customHeight="1" x14ac:dyDescent="0.3"/>
    <row r="1199" ht="20.05" customHeight="1" x14ac:dyDescent="0.3"/>
    <row r="1200" ht="20.05" customHeight="1" x14ac:dyDescent="0.3"/>
    <row r="1201" ht="20.05" customHeight="1" x14ac:dyDescent="0.3"/>
    <row r="1202" ht="20.05" customHeight="1" x14ac:dyDescent="0.3"/>
    <row r="1203" ht="20.05" customHeight="1" x14ac:dyDescent="0.3"/>
    <row r="1204" ht="20.05" customHeight="1" x14ac:dyDescent="0.3"/>
    <row r="1205" ht="20.05" customHeight="1" x14ac:dyDescent="0.3"/>
    <row r="1206" ht="20.05" customHeight="1" x14ac:dyDescent="0.3"/>
    <row r="1207" ht="20.05" customHeight="1" x14ac:dyDescent="0.3"/>
    <row r="1208" ht="20.05" customHeight="1" x14ac:dyDescent="0.3"/>
    <row r="1209" ht="20.05" customHeight="1" x14ac:dyDescent="0.3"/>
    <row r="1210" ht="20.05" customHeight="1" x14ac:dyDescent="0.3"/>
    <row r="1211" ht="20.05" customHeight="1" x14ac:dyDescent="0.3"/>
    <row r="1212" ht="20.05" customHeight="1" x14ac:dyDescent="0.3"/>
    <row r="1213" ht="20.05" customHeight="1" x14ac:dyDescent="0.3"/>
    <row r="1214" ht="20.05" customHeight="1" x14ac:dyDescent="0.3"/>
    <row r="1215" ht="20.05" customHeight="1" x14ac:dyDescent="0.3"/>
    <row r="1216" ht="20.05" customHeight="1" x14ac:dyDescent="0.3"/>
    <row r="1217" ht="20.05" customHeight="1" x14ac:dyDescent="0.3"/>
    <row r="1218" ht="20.05" customHeight="1" x14ac:dyDescent="0.3"/>
    <row r="1219" ht="20.05" customHeight="1" x14ac:dyDescent="0.3"/>
    <row r="1220" ht="20.05" customHeight="1" x14ac:dyDescent="0.3"/>
    <row r="1221" ht="20.05" customHeight="1" x14ac:dyDescent="0.3"/>
    <row r="1222" ht="20.05" customHeight="1" x14ac:dyDescent="0.3"/>
    <row r="1223" ht="20.05" customHeight="1" x14ac:dyDescent="0.3"/>
    <row r="1224" ht="20.05" customHeight="1" x14ac:dyDescent="0.3"/>
    <row r="1225" ht="20.05" customHeight="1" x14ac:dyDescent="0.3"/>
    <row r="1226" ht="20.05" customHeight="1" x14ac:dyDescent="0.3"/>
    <row r="1227" ht="20.05" customHeight="1" x14ac:dyDescent="0.3"/>
    <row r="1228" ht="20.05" customHeight="1" x14ac:dyDescent="0.3"/>
    <row r="1229" ht="20.05" customHeight="1" x14ac:dyDescent="0.3"/>
    <row r="1230" ht="20.05" customHeight="1" x14ac:dyDescent="0.3"/>
    <row r="1231" ht="20.05" customHeight="1" x14ac:dyDescent="0.3"/>
    <row r="1232" ht="20.05" customHeight="1" x14ac:dyDescent="0.3"/>
    <row r="1233" ht="20.05" customHeight="1" x14ac:dyDescent="0.3"/>
    <row r="1234" ht="20.05" customHeight="1" x14ac:dyDescent="0.3"/>
    <row r="1235" ht="20.05" customHeight="1" x14ac:dyDescent="0.3"/>
    <row r="1236" ht="20.05" customHeight="1" x14ac:dyDescent="0.3"/>
    <row r="1237" ht="20.05" customHeight="1" x14ac:dyDescent="0.3"/>
    <row r="1238" ht="20.05" customHeight="1" x14ac:dyDescent="0.3"/>
    <row r="1239" ht="20.05" customHeight="1" x14ac:dyDescent="0.3"/>
    <row r="1240" ht="20.05" customHeight="1" x14ac:dyDescent="0.3"/>
    <row r="1241" ht="20.05" customHeight="1" x14ac:dyDescent="0.3"/>
    <row r="1242" ht="20.05" customHeight="1" x14ac:dyDescent="0.3"/>
    <row r="1243" ht="20.05" customHeight="1" x14ac:dyDescent="0.3"/>
    <row r="1244" ht="20.05" customHeight="1" x14ac:dyDescent="0.3"/>
    <row r="1245" ht="20.05" customHeight="1" x14ac:dyDescent="0.3"/>
    <row r="1246" ht="20.05" customHeight="1" x14ac:dyDescent="0.3"/>
    <row r="1247" ht="20.05" customHeight="1" x14ac:dyDescent="0.3"/>
    <row r="1248" ht="20.05" customHeight="1" x14ac:dyDescent="0.3"/>
    <row r="1249" ht="20.05" customHeight="1" x14ac:dyDescent="0.3"/>
    <row r="1250" ht="20.05" customHeight="1" x14ac:dyDescent="0.3"/>
    <row r="1251" ht="20.05" customHeight="1" x14ac:dyDescent="0.3"/>
    <row r="1252" ht="20.05" customHeight="1" x14ac:dyDescent="0.3"/>
    <row r="1253" ht="20.05" customHeight="1" x14ac:dyDescent="0.3"/>
    <row r="1254" ht="20.05" customHeight="1" x14ac:dyDescent="0.3"/>
    <row r="1255" ht="20.05" customHeight="1" x14ac:dyDescent="0.3"/>
    <row r="1256" ht="20.05" customHeight="1" x14ac:dyDescent="0.3"/>
    <row r="1257" ht="20.05" customHeight="1" x14ac:dyDescent="0.3"/>
    <row r="1258" ht="20.05" customHeight="1" x14ac:dyDescent="0.3"/>
    <row r="1259" ht="20.05" customHeight="1" x14ac:dyDescent="0.3"/>
    <row r="1260" ht="20.05" customHeight="1" x14ac:dyDescent="0.3"/>
    <row r="1261" ht="20.05" customHeight="1" x14ac:dyDescent="0.3"/>
    <row r="1262" ht="20.05" customHeight="1" x14ac:dyDescent="0.3"/>
    <row r="1263" ht="20.05" customHeight="1" x14ac:dyDescent="0.3"/>
    <row r="1264" ht="20.05" customHeight="1" x14ac:dyDescent="0.3"/>
    <row r="1265" ht="20.05" customHeight="1" x14ac:dyDescent="0.3"/>
    <row r="1266" ht="20.05" customHeight="1" x14ac:dyDescent="0.3"/>
    <row r="1267" ht="20.05" customHeight="1" x14ac:dyDescent="0.3"/>
    <row r="1268" ht="20.05" customHeight="1" x14ac:dyDescent="0.3"/>
    <row r="1269" ht="20.05" customHeight="1" x14ac:dyDescent="0.3"/>
    <row r="1270" ht="20.05" customHeight="1" x14ac:dyDescent="0.3"/>
    <row r="1271" ht="20.05" customHeight="1" x14ac:dyDescent="0.3"/>
    <row r="1272" ht="20.05" customHeight="1" x14ac:dyDescent="0.3"/>
    <row r="1273" ht="20.05" customHeight="1" x14ac:dyDescent="0.3"/>
    <row r="1274" ht="20.05" customHeight="1" x14ac:dyDescent="0.3"/>
    <row r="1275" ht="20.05" customHeight="1" x14ac:dyDescent="0.3"/>
    <row r="1276" ht="20.05" customHeight="1" x14ac:dyDescent="0.3"/>
    <row r="1277" ht="20.05" customHeight="1" x14ac:dyDescent="0.3"/>
    <row r="1278" ht="20.05" customHeight="1" x14ac:dyDescent="0.3"/>
    <row r="1279" ht="20.05" customHeight="1" x14ac:dyDescent="0.3"/>
    <row r="1280" ht="20.05" customHeight="1" x14ac:dyDescent="0.3"/>
    <row r="1281" ht="20.05" customHeight="1" x14ac:dyDescent="0.3"/>
    <row r="1282" ht="20.05" customHeight="1" x14ac:dyDescent="0.3"/>
    <row r="1283" ht="20.05" customHeight="1" x14ac:dyDescent="0.3"/>
    <row r="1284" ht="20.05" customHeight="1" x14ac:dyDescent="0.3"/>
    <row r="1285" ht="20.05" customHeight="1" x14ac:dyDescent="0.3"/>
    <row r="1286" ht="20.05" customHeight="1" x14ac:dyDescent="0.3"/>
    <row r="1287" ht="20.05" customHeight="1" x14ac:dyDescent="0.3"/>
    <row r="1288" ht="20.05" customHeight="1" x14ac:dyDescent="0.3"/>
    <row r="1289" ht="20.05" customHeight="1" x14ac:dyDescent="0.3"/>
    <row r="1290" ht="20.05" customHeight="1" x14ac:dyDescent="0.3"/>
    <row r="1291" ht="20.05" customHeight="1" x14ac:dyDescent="0.3"/>
    <row r="1292" ht="20.05" customHeight="1" x14ac:dyDescent="0.3"/>
    <row r="1293" ht="20.05" customHeight="1" x14ac:dyDescent="0.3"/>
    <row r="1294" ht="20.05" customHeight="1" x14ac:dyDescent="0.3"/>
    <row r="1295" ht="20.05" customHeight="1" x14ac:dyDescent="0.3"/>
    <row r="1296" ht="20.05" customHeight="1" x14ac:dyDescent="0.3"/>
    <row r="1297" ht="20.05" customHeight="1" x14ac:dyDescent="0.3"/>
    <row r="1298" ht="20.05" customHeight="1" x14ac:dyDescent="0.3"/>
    <row r="1299" ht="20.05" customHeight="1" x14ac:dyDescent="0.3"/>
    <row r="1300" ht="20.05" customHeight="1" x14ac:dyDescent="0.3"/>
    <row r="1301" ht="20.05" customHeight="1" x14ac:dyDescent="0.3"/>
    <row r="1302" ht="20.05" customHeight="1" x14ac:dyDescent="0.3"/>
    <row r="1303" ht="20.05" customHeight="1" x14ac:dyDescent="0.3"/>
    <row r="1304" ht="20.05" customHeight="1" x14ac:dyDescent="0.3"/>
    <row r="1305" ht="20.05" customHeight="1" x14ac:dyDescent="0.3"/>
    <row r="1306" ht="20.05" customHeight="1" x14ac:dyDescent="0.3"/>
    <row r="1307" ht="20.05" customHeight="1" x14ac:dyDescent="0.3"/>
    <row r="1308" ht="20.05" customHeight="1" x14ac:dyDescent="0.3"/>
    <row r="1309" ht="20.05" customHeight="1" x14ac:dyDescent="0.3"/>
    <row r="1310" ht="20.05" customHeight="1" x14ac:dyDescent="0.3"/>
    <row r="1311" ht="20.05" customHeight="1" x14ac:dyDescent="0.3"/>
    <row r="1312" ht="20.05" customHeight="1" x14ac:dyDescent="0.3"/>
    <row r="1313" ht="20.05" customHeight="1" x14ac:dyDescent="0.3"/>
    <row r="1314" ht="20.05" customHeight="1" x14ac:dyDescent="0.3"/>
    <row r="1315" ht="20.05" customHeight="1" x14ac:dyDescent="0.3"/>
    <row r="1316" ht="20.05" customHeight="1" x14ac:dyDescent="0.3"/>
    <row r="1317" ht="20.05" customHeight="1" x14ac:dyDescent="0.3"/>
    <row r="1318" ht="20.05" customHeight="1" x14ac:dyDescent="0.3"/>
    <row r="1319" ht="20.05" customHeight="1" x14ac:dyDescent="0.3"/>
    <row r="1320" ht="20.05" customHeight="1" x14ac:dyDescent="0.3"/>
    <row r="1321" ht="20.05" customHeight="1" x14ac:dyDescent="0.3"/>
    <row r="1322" ht="20.05" customHeight="1" x14ac:dyDescent="0.3"/>
    <row r="1323" ht="20.05" customHeight="1" x14ac:dyDescent="0.3"/>
    <row r="1324" ht="20.05" customHeight="1" x14ac:dyDescent="0.3"/>
    <row r="1325" ht="20.05" customHeight="1" x14ac:dyDescent="0.3"/>
    <row r="1326" ht="20.05" customHeight="1" x14ac:dyDescent="0.3"/>
    <row r="1327" ht="20.05" customHeight="1" x14ac:dyDescent="0.3"/>
    <row r="1328" ht="20.05" customHeight="1" x14ac:dyDescent="0.3"/>
    <row r="1329" ht="20.05" customHeight="1" x14ac:dyDescent="0.3"/>
    <row r="1330" ht="20.05" customHeight="1" x14ac:dyDescent="0.3"/>
    <row r="1331" ht="20.05" customHeight="1" x14ac:dyDescent="0.3"/>
    <row r="1332" ht="20.05" customHeight="1" x14ac:dyDescent="0.3"/>
    <row r="1333" ht="20.05" customHeight="1" x14ac:dyDescent="0.3"/>
    <row r="1334" ht="20.05" customHeight="1" x14ac:dyDescent="0.3"/>
    <row r="1335" ht="20.05" customHeight="1" x14ac:dyDescent="0.3"/>
    <row r="1336" ht="20.05" customHeight="1" x14ac:dyDescent="0.3"/>
    <row r="1337" ht="20.05" customHeight="1" x14ac:dyDescent="0.3"/>
    <row r="1338" ht="20.05" customHeight="1" x14ac:dyDescent="0.3"/>
    <row r="1339" ht="20.05" customHeight="1" x14ac:dyDescent="0.3"/>
    <row r="1340" ht="20.05" customHeight="1" x14ac:dyDescent="0.3"/>
    <row r="1341" ht="20.05" customHeight="1" x14ac:dyDescent="0.3"/>
    <row r="1342" ht="20.05" customHeight="1" x14ac:dyDescent="0.3"/>
    <row r="1343" ht="20.05" customHeight="1" x14ac:dyDescent="0.3"/>
    <row r="1344" ht="20.05" customHeight="1" x14ac:dyDescent="0.3"/>
    <row r="1345" ht="20.05" customHeight="1" x14ac:dyDescent="0.3"/>
    <row r="1346" ht="20.05" customHeight="1" x14ac:dyDescent="0.3"/>
    <row r="1347" ht="20.05" customHeight="1" x14ac:dyDescent="0.3"/>
    <row r="1348" ht="20.05" customHeight="1" x14ac:dyDescent="0.3"/>
    <row r="1349" ht="20.05" customHeight="1" x14ac:dyDescent="0.3"/>
    <row r="1350" ht="20.05" customHeight="1" x14ac:dyDescent="0.3"/>
    <row r="1351" ht="20.05" customHeight="1" x14ac:dyDescent="0.3"/>
    <row r="1352" ht="20.05" customHeight="1" x14ac:dyDescent="0.3"/>
    <row r="1353" ht="20.05" customHeight="1" x14ac:dyDescent="0.3"/>
    <row r="1354" ht="20.05" customHeight="1" x14ac:dyDescent="0.3"/>
    <row r="1355" ht="20.05" customHeight="1" x14ac:dyDescent="0.3"/>
    <row r="1356" ht="20.05" customHeight="1" x14ac:dyDescent="0.3"/>
    <row r="1357" ht="20.05" customHeight="1" x14ac:dyDescent="0.3"/>
    <row r="1358" ht="20.05" customHeight="1" x14ac:dyDescent="0.3"/>
    <row r="1359" ht="20.05" customHeight="1" x14ac:dyDescent="0.3"/>
    <row r="1360" ht="20.05" customHeight="1" x14ac:dyDescent="0.3"/>
    <row r="1361" ht="20.05" customHeight="1" x14ac:dyDescent="0.3"/>
    <row r="1362" ht="20.05" customHeight="1" x14ac:dyDescent="0.3"/>
    <row r="1363" ht="20.05" customHeight="1" x14ac:dyDescent="0.3"/>
    <row r="1364" ht="20.05" customHeight="1" x14ac:dyDescent="0.3"/>
    <row r="1365" ht="20.05" customHeight="1" x14ac:dyDescent="0.3"/>
    <row r="1366" ht="20.05" customHeight="1" x14ac:dyDescent="0.3"/>
    <row r="1367" ht="20.05" customHeight="1" x14ac:dyDescent="0.3"/>
    <row r="1368" ht="20.05" customHeight="1" x14ac:dyDescent="0.3"/>
    <row r="1369" ht="20.05" customHeight="1" x14ac:dyDescent="0.3"/>
    <row r="1370" ht="20.05" customHeight="1" x14ac:dyDescent="0.3"/>
    <row r="1371" ht="20.05" customHeight="1" x14ac:dyDescent="0.3"/>
    <row r="1372" ht="20.05" customHeight="1" x14ac:dyDescent="0.3"/>
    <row r="1373" ht="20.05" customHeight="1" x14ac:dyDescent="0.3"/>
    <row r="1374" ht="20.05" customHeight="1" x14ac:dyDescent="0.3"/>
    <row r="1375" ht="20.05" customHeight="1" x14ac:dyDescent="0.3"/>
    <row r="1376" ht="20.05" customHeight="1" x14ac:dyDescent="0.3"/>
    <row r="1377" ht="20.05" customHeight="1" x14ac:dyDescent="0.3"/>
    <row r="1378" ht="20.05" customHeight="1" x14ac:dyDescent="0.3"/>
    <row r="1379" ht="20.05" customHeight="1" x14ac:dyDescent="0.3"/>
    <row r="1380" ht="20.05" customHeight="1" x14ac:dyDescent="0.3"/>
    <row r="1381" ht="20.05" customHeight="1" x14ac:dyDescent="0.3"/>
    <row r="1382" ht="20.05" customHeight="1" x14ac:dyDescent="0.3"/>
    <row r="1383" ht="20.05" customHeight="1" x14ac:dyDescent="0.3"/>
    <row r="1384" ht="20.05" customHeight="1" x14ac:dyDescent="0.3"/>
    <row r="1385" ht="20.05" customHeight="1" x14ac:dyDescent="0.3"/>
    <row r="1386" ht="20.05" customHeight="1" x14ac:dyDescent="0.3"/>
    <row r="1387" ht="20.05" customHeight="1" x14ac:dyDescent="0.3"/>
    <row r="1388" ht="20.05" customHeight="1" x14ac:dyDescent="0.3"/>
    <row r="1389" ht="20.05" customHeight="1" x14ac:dyDescent="0.3"/>
    <row r="1390" ht="20.05" customHeight="1" x14ac:dyDescent="0.3"/>
    <row r="1391" ht="20.05" customHeight="1" x14ac:dyDescent="0.3"/>
    <row r="1392" ht="20.05" customHeight="1" x14ac:dyDescent="0.3"/>
    <row r="1393" ht="20.05" customHeight="1" x14ac:dyDescent="0.3"/>
    <row r="1394" ht="20.05" customHeight="1" x14ac:dyDescent="0.3"/>
    <row r="1395" ht="20.05" customHeight="1" x14ac:dyDescent="0.3"/>
    <row r="1396" ht="20.05" customHeight="1" x14ac:dyDescent="0.3"/>
    <row r="1397" ht="20.05" customHeight="1" x14ac:dyDescent="0.3"/>
    <row r="1398" ht="20.05" customHeight="1" x14ac:dyDescent="0.3"/>
    <row r="1399" ht="20.05" customHeight="1" x14ac:dyDescent="0.3"/>
    <row r="1400" ht="20.05" customHeight="1" x14ac:dyDescent="0.3"/>
    <row r="1401" ht="20.05" customHeight="1" x14ac:dyDescent="0.3"/>
    <row r="1402" ht="20.05" customHeight="1" x14ac:dyDescent="0.3"/>
    <row r="1403" ht="20.05" customHeight="1" x14ac:dyDescent="0.3"/>
    <row r="1404" ht="20.05" customHeight="1" x14ac:dyDescent="0.3"/>
    <row r="1405" ht="20.05" customHeight="1" x14ac:dyDescent="0.3"/>
    <row r="1406" ht="20.05" customHeight="1" x14ac:dyDescent="0.3"/>
    <row r="1407" ht="20.05" customHeight="1" x14ac:dyDescent="0.3"/>
    <row r="1408" ht="20.05" customHeight="1" x14ac:dyDescent="0.3"/>
    <row r="1409" ht="20.05" customHeight="1" x14ac:dyDescent="0.3"/>
    <row r="1410" ht="20.05" customHeight="1" x14ac:dyDescent="0.3"/>
    <row r="1411" ht="20.05" customHeight="1" x14ac:dyDescent="0.3"/>
    <row r="1412" ht="20.05" customHeight="1" x14ac:dyDescent="0.3"/>
    <row r="1413" ht="20.05" customHeight="1" x14ac:dyDescent="0.3"/>
    <row r="1414" ht="20.05" customHeight="1" x14ac:dyDescent="0.3"/>
    <row r="1415" ht="20.05" customHeight="1" x14ac:dyDescent="0.3"/>
    <row r="1416" ht="20.05" customHeight="1" x14ac:dyDescent="0.3"/>
    <row r="1417" ht="20.05" customHeight="1" x14ac:dyDescent="0.3"/>
    <row r="1418" ht="20.05" customHeight="1" x14ac:dyDescent="0.3"/>
    <row r="1419" ht="20.05" customHeight="1" x14ac:dyDescent="0.3"/>
    <row r="1420" ht="20.05" customHeight="1" x14ac:dyDescent="0.3"/>
    <row r="1421" ht="20.05" customHeight="1" x14ac:dyDescent="0.3"/>
    <row r="1422" ht="20.05" customHeight="1" x14ac:dyDescent="0.3"/>
    <row r="1423" ht="20.05" customHeight="1" x14ac:dyDescent="0.3"/>
    <row r="1424" ht="20.05" customHeight="1" x14ac:dyDescent="0.3"/>
    <row r="1425" ht="20.05" customHeight="1" x14ac:dyDescent="0.3"/>
    <row r="1426" ht="20.05" customHeight="1" x14ac:dyDescent="0.3"/>
    <row r="1427" ht="20.05" customHeight="1" x14ac:dyDescent="0.3"/>
    <row r="1428" ht="20.05" customHeight="1" x14ac:dyDescent="0.3"/>
    <row r="1429" ht="20.05" customHeight="1" x14ac:dyDescent="0.3"/>
    <row r="1430" ht="20.05" customHeight="1" x14ac:dyDescent="0.3"/>
    <row r="1431" ht="20.05" customHeight="1" x14ac:dyDescent="0.3"/>
    <row r="1432" ht="20.05" customHeight="1" x14ac:dyDescent="0.3"/>
    <row r="1433" ht="20.05" customHeight="1" x14ac:dyDescent="0.3"/>
    <row r="1434" ht="20.05" customHeight="1" x14ac:dyDescent="0.3"/>
    <row r="1435" ht="20.05" customHeight="1" x14ac:dyDescent="0.3"/>
    <row r="1436" ht="20.05" customHeight="1" x14ac:dyDescent="0.3"/>
    <row r="1437" ht="20.05" customHeight="1" x14ac:dyDescent="0.3"/>
    <row r="1438" ht="20.05" customHeight="1" x14ac:dyDescent="0.3"/>
    <row r="1439" ht="20.05" customHeight="1" x14ac:dyDescent="0.3"/>
    <row r="1440" ht="20.05" customHeight="1" x14ac:dyDescent="0.3"/>
    <row r="1441" ht="20.05" customHeight="1" x14ac:dyDescent="0.3"/>
    <row r="1442" ht="20.05" customHeight="1" x14ac:dyDescent="0.3"/>
    <row r="1443" ht="20.05" customHeight="1" x14ac:dyDescent="0.3"/>
    <row r="1444" ht="20.05" customHeight="1" x14ac:dyDescent="0.3"/>
    <row r="1445" ht="20.05" customHeight="1" x14ac:dyDescent="0.3"/>
    <row r="1446" ht="20.05" customHeight="1" x14ac:dyDescent="0.3"/>
    <row r="1447" ht="20.05" customHeight="1" x14ac:dyDescent="0.3"/>
    <row r="1448" ht="20.05" customHeight="1" x14ac:dyDescent="0.3"/>
    <row r="1449" ht="20.05" customHeight="1" x14ac:dyDescent="0.3"/>
    <row r="1450" ht="20.05" customHeight="1" x14ac:dyDescent="0.3"/>
    <row r="1451" ht="20.05" customHeight="1" x14ac:dyDescent="0.3"/>
    <row r="1452" ht="20.05" customHeight="1" x14ac:dyDescent="0.3"/>
    <row r="1453" ht="20.05" customHeight="1" x14ac:dyDescent="0.3"/>
    <row r="1454" ht="20.05" customHeight="1" x14ac:dyDescent="0.3"/>
    <row r="1455" ht="20.05" customHeight="1" x14ac:dyDescent="0.3"/>
    <row r="1456" ht="20.05" customHeight="1" x14ac:dyDescent="0.3"/>
    <row r="1457" ht="20.05" customHeight="1" x14ac:dyDescent="0.3"/>
    <row r="1458" ht="20.05" customHeight="1" x14ac:dyDescent="0.3"/>
    <row r="1459" ht="20.05" customHeight="1" x14ac:dyDescent="0.3"/>
    <row r="1460" ht="20.05" customHeight="1" x14ac:dyDescent="0.3"/>
    <row r="1461" ht="20.05" customHeight="1" x14ac:dyDescent="0.3"/>
    <row r="1462" ht="20.05" customHeight="1" x14ac:dyDescent="0.3"/>
    <row r="1463" ht="20.05" customHeight="1" x14ac:dyDescent="0.3"/>
    <row r="1464" ht="20.05" customHeight="1" x14ac:dyDescent="0.3"/>
    <row r="1465" ht="20.05" customHeight="1" x14ac:dyDescent="0.3"/>
    <row r="1466" ht="20.05" customHeight="1" x14ac:dyDescent="0.3"/>
    <row r="1467" ht="20.05" customHeight="1" x14ac:dyDescent="0.3"/>
    <row r="1468" ht="20.05" customHeight="1" x14ac:dyDescent="0.3"/>
    <row r="1469" ht="20.05" customHeight="1" x14ac:dyDescent="0.3"/>
    <row r="1470" ht="20.05" customHeight="1" x14ac:dyDescent="0.3"/>
    <row r="1471" ht="20.05" customHeight="1" x14ac:dyDescent="0.3"/>
    <row r="1472" ht="20.05" customHeight="1" x14ac:dyDescent="0.3"/>
    <row r="1473" ht="20.05" customHeight="1" x14ac:dyDescent="0.3"/>
    <row r="1474" ht="20.05" customHeight="1" x14ac:dyDescent="0.3"/>
    <row r="1475" ht="20.05" customHeight="1" x14ac:dyDescent="0.3"/>
    <row r="1476" ht="20.05" customHeight="1" x14ac:dyDescent="0.3"/>
    <row r="1477" ht="20.05" customHeight="1" x14ac:dyDescent="0.3"/>
    <row r="1478" ht="20.05" customHeight="1" x14ac:dyDescent="0.3"/>
    <row r="1479" ht="20.05" customHeight="1" x14ac:dyDescent="0.3"/>
    <row r="1480" ht="20.05" customHeight="1" x14ac:dyDescent="0.3"/>
    <row r="1481" ht="20.05" customHeight="1" x14ac:dyDescent="0.3"/>
    <row r="1482" ht="20.05" customHeight="1" x14ac:dyDescent="0.3"/>
    <row r="1483" ht="20.05" customHeight="1" x14ac:dyDescent="0.3"/>
    <row r="1484" ht="20.05" customHeight="1" x14ac:dyDescent="0.3"/>
    <row r="1485" ht="20.05" customHeight="1" x14ac:dyDescent="0.3"/>
    <row r="1486" ht="20.05" customHeight="1" x14ac:dyDescent="0.3"/>
    <row r="1487" ht="20.05" customHeight="1" x14ac:dyDescent="0.3"/>
    <row r="1488" ht="20.05" customHeight="1" x14ac:dyDescent="0.3"/>
    <row r="1489" ht="20.05" customHeight="1" x14ac:dyDescent="0.3"/>
    <row r="1490" ht="20.05" customHeight="1" x14ac:dyDescent="0.3"/>
    <row r="1491" ht="20.05" customHeight="1" x14ac:dyDescent="0.3"/>
    <row r="1492" ht="20.05" customHeight="1" x14ac:dyDescent="0.3"/>
    <row r="1493" ht="20.05" customHeight="1" x14ac:dyDescent="0.3"/>
    <row r="1494" ht="20.05" customHeight="1" x14ac:dyDescent="0.3"/>
    <row r="1495" ht="20.05" customHeight="1" x14ac:dyDescent="0.3"/>
    <row r="1496" ht="20.05" customHeight="1" x14ac:dyDescent="0.3"/>
    <row r="1497" ht="20.05" customHeight="1" x14ac:dyDescent="0.3"/>
    <row r="1498" ht="20.05" customHeight="1" x14ac:dyDescent="0.3"/>
    <row r="1499" ht="20.05" customHeight="1" x14ac:dyDescent="0.3"/>
    <row r="1500" ht="20.05" customHeight="1" x14ac:dyDescent="0.3"/>
    <row r="1501" ht="20.05" customHeight="1" x14ac:dyDescent="0.3"/>
    <row r="1502" ht="20.05" customHeight="1" x14ac:dyDescent="0.3"/>
    <row r="1503" ht="20.05" customHeight="1" x14ac:dyDescent="0.3"/>
    <row r="1504" ht="20.05" customHeight="1" x14ac:dyDescent="0.3"/>
    <row r="1505" ht="20.05" customHeight="1" x14ac:dyDescent="0.3"/>
    <row r="1506" ht="20.05" customHeight="1" x14ac:dyDescent="0.3"/>
    <row r="1507" ht="20.05" customHeight="1" x14ac:dyDescent="0.3"/>
    <row r="1508" ht="20.05" customHeight="1" x14ac:dyDescent="0.3"/>
    <row r="1509" ht="20.05" customHeight="1" x14ac:dyDescent="0.3"/>
    <row r="1510" ht="20.05" customHeight="1" x14ac:dyDescent="0.3"/>
    <row r="1511" ht="20.05" customHeight="1" x14ac:dyDescent="0.3"/>
    <row r="1512" ht="20.05" customHeight="1" x14ac:dyDescent="0.3"/>
    <row r="1513" ht="20.05" customHeight="1" x14ac:dyDescent="0.3"/>
    <row r="1514" ht="20.05" customHeight="1" x14ac:dyDescent="0.3"/>
    <row r="1515" ht="20.05" customHeight="1" x14ac:dyDescent="0.3"/>
    <row r="1516" ht="20.05" customHeight="1" x14ac:dyDescent="0.3"/>
    <row r="1517" ht="20.05" customHeight="1" x14ac:dyDescent="0.3"/>
    <row r="1518" ht="20.05" customHeight="1" x14ac:dyDescent="0.3"/>
    <row r="1519" ht="20.05" customHeight="1" x14ac:dyDescent="0.3"/>
    <row r="1520" ht="20.05" customHeight="1" x14ac:dyDescent="0.3"/>
    <row r="1521" ht="20.05" customHeight="1" x14ac:dyDescent="0.3"/>
    <row r="1522" ht="20.05" customHeight="1" x14ac:dyDescent="0.3"/>
    <row r="1523" ht="20.05" customHeight="1" x14ac:dyDescent="0.3"/>
    <row r="1524" ht="20.05" customHeight="1" x14ac:dyDescent="0.3"/>
    <row r="1525" ht="20.05" customHeight="1" x14ac:dyDescent="0.3"/>
    <row r="1526" ht="20.05" customHeight="1" x14ac:dyDescent="0.3"/>
    <row r="1527" ht="20.05" customHeight="1" x14ac:dyDescent="0.3"/>
    <row r="1528" ht="20.05" customHeight="1" x14ac:dyDescent="0.3"/>
    <row r="1529" ht="20.05" customHeight="1" x14ac:dyDescent="0.3"/>
    <row r="1530" ht="20.05" customHeight="1" x14ac:dyDescent="0.3"/>
    <row r="1531" ht="20.05" customHeight="1" x14ac:dyDescent="0.3"/>
    <row r="1532" ht="20.05" customHeight="1" x14ac:dyDescent="0.3"/>
    <row r="1533" ht="20.05" customHeight="1" x14ac:dyDescent="0.3"/>
    <row r="1534" ht="20.05" customHeight="1" x14ac:dyDescent="0.3"/>
    <row r="1535" ht="20.05" customHeight="1" x14ac:dyDescent="0.3"/>
    <row r="1536" ht="20.05" customHeight="1" x14ac:dyDescent="0.3"/>
    <row r="1537" ht="20.05" customHeight="1" x14ac:dyDescent="0.3"/>
    <row r="1538" ht="20.05" customHeight="1" x14ac:dyDescent="0.3"/>
    <row r="1539" ht="20.05" customHeight="1" x14ac:dyDescent="0.3"/>
    <row r="1540" ht="20.05" customHeight="1" x14ac:dyDescent="0.3"/>
    <row r="1541" ht="20.05" customHeight="1" x14ac:dyDescent="0.3"/>
    <row r="1542" ht="20.05" customHeight="1" x14ac:dyDescent="0.3"/>
    <row r="1543" ht="20.05" customHeight="1" x14ac:dyDescent="0.3"/>
    <row r="1544" ht="20.05" customHeight="1" x14ac:dyDescent="0.3"/>
    <row r="1545" ht="20.05" customHeight="1" x14ac:dyDescent="0.3"/>
    <row r="1546" ht="20.05" customHeight="1" x14ac:dyDescent="0.3"/>
    <row r="1547" ht="20.05" customHeight="1" x14ac:dyDescent="0.3"/>
    <row r="1548" ht="20.05" customHeight="1" x14ac:dyDescent="0.3"/>
    <row r="1549" ht="20.05" customHeight="1" x14ac:dyDescent="0.3"/>
    <row r="1550" ht="20.05" customHeight="1" x14ac:dyDescent="0.3"/>
    <row r="1551" ht="20.05" customHeight="1" x14ac:dyDescent="0.3"/>
    <row r="1552" ht="20.05" customHeight="1" x14ac:dyDescent="0.3"/>
    <row r="1553" ht="20.05" customHeight="1" x14ac:dyDescent="0.3"/>
    <row r="1554" ht="20.05" customHeight="1" x14ac:dyDescent="0.3"/>
    <row r="1555" ht="20.05" customHeight="1" x14ac:dyDescent="0.3"/>
    <row r="1556" ht="20.05" customHeight="1" x14ac:dyDescent="0.3"/>
    <row r="1557" ht="20.05" customHeight="1" x14ac:dyDescent="0.3"/>
    <row r="1558" ht="20.05" customHeight="1" x14ac:dyDescent="0.3"/>
    <row r="1559" ht="20.05" customHeight="1" x14ac:dyDescent="0.3"/>
    <row r="1560" ht="20.05" customHeight="1" x14ac:dyDescent="0.3"/>
    <row r="1561" ht="20.05" customHeight="1" x14ac:dyDescent="0.3"/>
    <row r="1562" ht="20.05" customHeight="1" x14ac:dyDescent="0.3"/>
    <row r="1563" ht="20.05" customHeight="1" x14ac:dyDescent="0.3"/>
    <row r="1564" ht="20.05" customHeight="1" x14ac:dyDescent="0.3"/>
    <row r="1565" ht="20.05" customHeight="1" x14ac:dyDescent="0.3"/>
    <row r="1566" ht="20.05" customHeight="1" x14ac:dyDescent="0.3"/>
    <row r="1567" ht="20.05" customHeight="1" x14ac:dyDescent="0.3"/>
    <row r="1568" ht="20.05" customHeight="1" x14ac:dyDescent="0.3"/>
    <row r="1569" ht="20.05" customHeight="1" x14ac:dyDescent="0.3"/>
    <row r="1570" ht="20.05" customHeight="1" x14ac:dyDescent="0.3"/>
    <row r="1571" ht="20.05" customHeight="1" x14ac:dyDescent="0.3"/>
    <row r="1572" ht="20.05" customHeight="1" x14ac:dyDescent="0.3"/>
    <row r="1573" ht="20.05" customHeight="1" x14ac:dyDescent="0.3"/>
    <row r="1574" ht="20.05" customHeight="1" x14ac:dyDescent="0.3"/>
    <row r="1575" ht="20.05" customHeight="1" x14ac:dyDescent="0.3"/>
    <row r="1576" ht="20.05" customHeight="1" x14ac:dyDescent="0.3"/>
    <row r="1577" ht="20.05" customHeight="1" x14ac:dyDescent="0.3"/>
    <row r="1578" ht="20.05" customHeight="1" x14ac:dyDescent="0.3"/>
    <row r="1579" ht="20.05" customHeight="1" x14ac:dyDescent="0.3"/>
    <row r="1580" ht="20.05" customHeight="1" x14ac:dyDescent="0.3"/>
    <row r="1581" ht="20.05" customHeight="1" x14ac:dyDescent="0.3"/>
    <row r="1582" ht="20.05" customHeight="1" x14ac:dyDescent="0.3"/>
    <row r="1583" ht="20.05" customHeight="1" x14ac:dyDescent="0.3"/>
    <row r="1584" ht="20.05" customHeight="1" x14ac:dyDescent="0.3"/>
    <row r="1585" ht="20.05" customHeight="1" x14ac:dyDescent="0.3"/>
    <row r="1586" ht="20.05" customHeight="1" x14ac:dyDescent="0.3"/>
    <row r="1587" ht="20.05" customHeight="1" x14ac:dyDescent="0.3"/>
    <row r="1588" ht="20.05" customHeight="1" x14ac:dyDescent="0.3"/>
    <row r="1589" ht="20.05" customHeight="1" x14ac:dyDescent="0.3"/>
    <row r="1590" ht="20.05" customHeight="1" x14ac:dyDescent="0.3"/>
    <row r="1591" ht="20.05" customHeight="1" x14ac:dyDescent="0.3"/>
    <row r="1592" ht="20.05" customHeight="1" x14ac:dyDescent="0.3"/>
    <row r="1593" ht="20.05" customHeight="1" x14ac:dyDescent="0.3"/>
    <row r="1594" ht="20.05" customHeight="1" x14ac:dyDescent="0.3"/>
    <row r="1595" ht="20.05" customHeight="1" x14ac:dyDescent="0.3"/>
    <row r="1596" ht="20.05" customHeight="1" x14ac:dyDescent="0.3"/>
    <row r="1597" ht="20.05" customHeight="1" x14ac:dyDescent="0.3"/>
    <row r="1598" ht="20.05" customHeight="1" x14ac:dyDescent="0.3"/>
    <row r="1599" ht="20.05" customHeight="1" x14ac:dyDescent="0.3"/>
    <row r="1600" ht="20.05" customHeight="1" x14ac:dyDescent="0.3"/>
    <row r="1601" ht="20.05" customHeight="1" x14ac:dyDescent="0.3"/>
    <row r="1602" ht="20.05" customHeight="1" x14ac:dyDescent="0.3"/>
    <row r="1603" ht="20.05" customHeight="1" x14ac:dyDescent="0.3"/>
    <row r="1604" ht="20.05" customHeight="1" x14ac:dyDescent="0.3"/>
    <row r="1605" ht="20.05" customHeight="1" x14ac:dyDescent="0.3"/>
    <row r="1606" ht="20.05" customHeight="1" x14ac:dyDescent="0.3"/>
    <row r="1607" ht="20.05" customHeight="1" x14ac:dyDescent="0.3"/>
    <row r="1608" ht="20.05" customHeight="1" x14ac:dyDescent="0.3"/>
    <row r="1609" ht="20.05" customHeight="1" x14ac:dyDescent="0.3"/>
    <row r="1610" ht="20.05" customHeight="1" x14ac:dyDescent="0.3"/>
    <row r="1611" ht="20.05" customHeight="1" x14ac:dyDescent="0.3"/>
    <row r="1612" ht="20.05" customHeight="1" x14ac:dyDescent="0.3"/>
    <row r="1613" ht="20.05" customHeight="1" x14ac:dyDescent="0.3"/>
    <row r="1614" ht="20.05" customHeight="1" x14ac:dyDescent="0.3"/>
    <row r="1615" ht="20.05" customHeight="1" x14ac:dyDescent="0.3"/>
    <row r="1616" ht="20.05" customHeight="1" x14ac:dyDescent="0.3"/>
    <row r="1617" ht="20.05" customHeight="1" x14ac:dyDescent="0.3"/>
    <row r="1618" ht="20.05" customHeight="1" x14ac:dyDescent="0.3"/>
    <row r="1619" ht="20.05" customHeight="1" x14ac:dyDescent="0.3"/>
    <row r="1620" ht="20.05" customHeight="1" x14ac:dyDescent="0.3"/>
    <row r="1621" ht="20.05" customHeight="1" x14ac:dyDescent="0.3"/>
    <row r="1622" ht="20.05" customHeight="1" x14ac:dyDescent="0.3"/>
    <row r="1623" ht="20.05" customHeight="1" x14ac:dyDescent="0.3"/>
    <row r="1624" ht="20.05" customHeight="1" x14ac:dyDescent="0.3"/>
    <row r="1625" ht="20.05" customHeight="1" x14ac:dyDescent="0.3"/>
    <row r="1626" ht="20.05" customHeight="1" x14ac:dyDescent="0.3"/>
    <row r="1627" ht="20.05" customHeight="1" x14ac:dyDescent="0.3"/>
    <row r="1628" ht="20.05" customHeight="1" x14ac:dyDescent="0.3"/>
    <row r="1629" ht="20.05" customHeight="1" x14ac:dyDescent="0.3"/>
    <row r="1630" ht="20.05" customHeight="1" x14ac:dyDescent="0.3"/>
    <row r="1631" ht="20.05" customHeight="1" x14ac:dyDescent="0.3"/>
    <row r="1632" ht="20.05" customHeight="1" x14ac:dyDescent="0.3"/>
    <row r="1633" ht="20.05" customHeight="1" x14ac:dyDescent="0.3"/>
    <row r="1634" ht="20.05" customHeight="1" x14ac:dyDescent="0.3"/>
    <row r="1635" ht="20.05" customHeight="1" x14ac:dyDescent="0.3"/>
    <row r="1636" ht="20.05" customHeight="1" x14ac:dyDescent="0.3"/>
    <row r="1637" ht="20.05" customHeight="1" x14ac:dyDescent="0.3"/>
    <row r="1638" ht="20.05" customHeight="1" x14ac:dyDescent="0.3"/>
    <row r="1639" ht="20.05" customHeight="1" x14ac:dyDescent="0.3"/>
    <row r="1640" ht="20.05" customHeight="1" x14ac:dyDescent="0.3"/>
    <row r="1641" ht="20.05" customHeight="1" x14ac:dyDescent="0.3"/>
    <row r="1642" ht="20.05" customHeight="1" x14ac:dyDescent="0.3"/>
    <row r="1643" ht="20.05" customHeight="1" x14ac:dyDescent="0.3"/>
    <row r="1644" ht="20.05" customHeight="1" x14ac:dyDescent="0.3"/>
    <row r="1645" ht="20.05" customHeight="1" x14ac:dyDescent="0.3"/>
    <row r="1646" ht="20.05" customHeight="1" x14ac:dyDescent="0.3"/>
    <row r="1647" ht="20.05" customHeight="1" x14ac:dyDescent="0.3"/>
    <row r="1648" ht="20.05" customHeight="1" x14ac:dyDescent="0.3"/>
    <row r="1649" ht="20.05" customHeight="1" x14ac:dyDescent="0.3"/>
    <row r="1650" ht="20.05" customHeight="1" x14ac:dyDescent="0.3"/>
    <row r="1651" ht="20.05" customHeight="1" x14ac:dyDescent="0.3"/>
    <row r="1652" ht="20.05" customHeight="1" x14ac:dyDescent="0.3"/>
    <row r="1653" ht="20.05" customHeight="1" x14ac:dyDescent="0.3"/>
    <row r="1654" ht="20.05" customHeight="1" x14ac:dyDescent="0.3"/>
    <row r="1655" ht="20.05" customHeight="1" x14ac:dyDescent="0.3"/>
    <row r="1656" ht="20.05" customHeight="1" x14ac:dyDescent="0.3"/>
    <row r="1657" ht="20.05" customHeight="1" x14ac:dyDescent="0.3"/>
    <row r="1658" ht="20.05" customHeight="1" x14ac:dyDescent="0.3"/>
    <row r="1659" ht="20.05" customHeight="1" x14ac:dyDescent="0.3"/>
    <row r="1660" ht="20.05" customHeight="1" x14ac:dyDescent="0.3"/>
    <row r="1661" ht="20.05" customHeight="1" x14ac:dyDescent="0.3"/>
    <row r="1662" ht="20.05" customHeight="1" x14ac:dyDescent="0.3"/>
    <row r="1663" ht="20.05" customHeight="1" x14ac:dyDescent="0.3"/>
    <row r="1664" ht="20.05" customHeight="1" x14ac:dyDescent="0.3"/>
    <row r="1665" ht="20.05" customHeight="1" x14ac:dyDescent="0.3"/>
    <row r="1666" ht="20.05" customHeight="1" x14ac:dyDescent="0.3"/>
    <row r="1667" ht="20.05" customHeight="1" x14ac:dyDescent="0.3"/>
    <row r="1668" ht="20.05" customHeight="1" x14ac:dyDescent="0.3"/>
    <row r="1669" ht="20.05" customHeight="1" x14ac:dyDescent="0.3"/>
    <row r="1670" ht="20.05" customHeight="1" x14ac:dyDescent="0.3"/>
    <row r="1671" ht="20.05" customHeight="1" x14ac:dyDescent="0.3"/>
    <row r="1672" ht="20.05" customHeight="1" x14ac:dyDescent="0.3"/>
    <row r="1673" ht="20.05" customHeight="1" x14ac:dyDescent="0.3"/>
    <row r="1674" ht="20.05" customHeight="1" x14ac:dyDescent="0.3"/>
    <row r="1675" ht="20.05" customHeight="1" x14ac:dyDescent="0.3"/>
    <row r="1676" ht="20.05" customHeight="1" x14ac:dyDescent="0.3"/>
    <row r="1677" ht="20.05" customHeight="1" x14ac:dyDescent="0.3"/>
    <row r="1678" ht="20.05" customHeight="1" x14ac:dyDescent="0.3"/>
    <row r="1679" ht="20.05" customHeight="1" x14ac:dyDescent="0.3"/>
    <row r="1680" ht="20.05" customHeight="1" x14ac:dyDescent="0.3"/>
    <row r="1681" ht="20.05" customHeight="1" x14ac:dyDescent="0.3"/>
    <row r="1682" ht="20.05" customHeight="1" x14ac:dyDescent="0.3"/>
    <row r="1683" ht="20.05" customHeight="1" x14ac:dyDescent="0.3"/>
    <row r="1684" ht="20.05" customHeight="1" x14ac:dyDescent="0.3"/>
    <row r="1685" ht="20.05" customHeight="1" x14ac:dyDescent="0.3"/>
    <row r="1686" ht="20.05" customHeight="1" x14ac:dyDescent="0.3"/>
    <row r="1687" ht="20.05" customHeight="1" x14ac:dyDescent="0.3"/>
    <row r="1688" ht="20.05" customHeight="1" x14ac:dyDescent="0.3"/>
    <row r="1689" ht="20.05" customHeight="1" x14ac:dyDescent="0.3"/>
    <row r="1690" ht="20.05" customHeight="1" x14ac:dyDescent="0.3"/>
    <row r="1691" ht="20.05" customHeight="1" x14ac:dyDescent="0.3"/>
    <row r="1692" ht="20.05" customHeight="1" x14ac:dyDescent="0.3"/>
    <row r="1693" ht="20.05" customHeight="1" x14ac:dyDescent="0.3"/>
    <row r="1694" ht="20.05" customHeight="1" x14ac:dyDescent="0.3"/>
    <row r="1695" ht="20.05" customHeight="1" x14ac:dyDescent="0.3"/>
    <row r="1696" ht="20.05" customHeight="1" x14ac:dyDescent="0.3"/>
    <row r="1697" ht="20.05" customHeight="1" x14ac:dyDescent="0.3"/>
    <row r="1698" ht="20.05" customHeight="1" x14ac:dyDescent="0.3"/>
    <row r="1699" ht="20.05" customHeight="1" x14ac:dyDescent="0.3"/>
    <row r="1700" ht="20.05" customHeight="1" x14ac:dyDescent="0.3"/>
    <row r="1701" ht="20.05" customHeight="1" x14ac:dyDescent="0.3"/>
    <row r="1702" ht="20.05" customHeight="1" x14ac:dyDescent="0.3"/>
    <row r="1703" ht="20.05" customHeight="1" x14ac:dyDescent="0.3"/>
    <row r="1704" ht="20.05" customHeight="1" x14ac:dyDescent="0.3"/>
    <row r="1705" ht="20.05" customHeight="1" x14ac:dyDescent="0.3"/>
    <row r="1706" ht="20.05" customHeight="1" x14ac:dyDescent="0.3"/>
    <row r="1707" ht="20.05" customHeight="1" x14ac:dyDescent="0.3"/>
    <row r="1708" ht="20.05" customHeight="1" x14ac:dyDescent="0.3"/>
    <row r="1709" ht="20.05" customHeight="1" x14ac:dyDescent="0.3"/>
    <row r="1710" ht="20.05" customHeight="1" x14ac:dyDescent="0.3"/>
    <row r="1711" ht="20.05" customHeight="1" x14ac:dyDescent="0.3"/>
    <row r="1712" ht="20.05" customHeight="1" x14ac:dyDescent="0.3"/>
    <row r="1713" ht="20.05" customHeight="1" x14ac:dyDescent="0.3"/>
    <row r="1714" ht="20.05" customHeight="1" x14ac:dyDescent="0.3"/>
    <row r="1715" ht="20.05" customHeight="1" x14ac:dyDescent="0.3"/>
    <row r="1716" ht="20.05" customHeight="1" x14ac:dyDescent="0.3"/>
    <row r="1717" ht="20.05" customHeight="1" x14ac:dyDescent="0.3"/>
    <row r="1718" ht="20.05" customHeight="1" x14ac:dyDescent="0.3"/>
    <row r="1719" ht="20.05" customHeight="1" x14ac:dyDescent="0.3"/>
    <row r="1720" ht="20.05" customHeight="1" x14ac:dyDescent="0.3"/>
    <row r="1721" ht="20.05" customHeight="1" x14ac:dyDescent="0.3"/>
    <row r="1722" ht="20.05" customHeight="1" x14ac:dyDescent="0.3"/>
    <row r="1723" ht="20.05" customHeight="1" x14ac:dyDescent="0.3"/>
    <row r="1724" ht="20.05" customHeight="1" x14ac:dyDescent="0.3"/>
    <row r="1725" ht="20.05" customHeight="1" x14ac:dyDescent="0.3"/>
    <row r="1726" ht="20.05" customHeight="1" x14ac:dyDescent="0.3"/>
    <row r="1727" ht="20.05" customHeight="1" x14ac:dyDescent="0.3"/>
    <row r="1728" ht="20.05" customHeight="1" x14ac:dyDescent="0.3"/>
    <row r="1729" ht="20.05" customHeight="1" x14ac:dyDescent="0.3"/>
    <row r="1730" ht="20.05" customHeight="1" x14ac:dyDescent="0.3"/>
    <row r="1731" ht="20.05" customHeight="1" x14ac:dyDescent="0.3"/>
    <row r="1732" ht="20.05" customHeight="1" x14ac:dyDescent="0.3"/>
    <row r="1733" ht="20.05" customHeight="1" x14ac:dyDescent="0.3"/>
    <row r="1734" ht="20.05" customHeight="1" x14ac:dyDescent="0.3"/>
    <row r="1735" ht="20.05" customHeight="1" x14ac:dyDescent="0.3"/>
    <row r="1736" ht="20.05" customHeight="1" x14ac:dyDescent="0.3"/>
    <row r="1737" ht="20.05" customHeight="1" x14ac:dyDescent="0.3"/>
    <row r="1738" ht="20.05" customHeight="1" x14ac:dyDescent="0.3"/>
    <row r="1739" ht="20.05" customHeight="1" x14ac:dyDescent="0.3"/>
    <row r="1740" ht="20.05" customHeight="1" x14ac:dyDescent="0.3"/>
    <row r="1741" ht="20.05" customHeight="1" x14ac:dyDescent="0.3"/>
    <row r="1742" ht="20.05" customHeight="1" x14ac:dyDescent="0.3"/>
    <row r="1743" ht="20.05" customHeight="1" x14ac:dyDescent="0.3"/>
    <row r="1744" ht="20.05" customHeight="1" x14ac:dyDescent="0.3"/>
    <row r="1745" ht="20.05" customHeight="1" x14ac:dyDescent="0.3"/>
    <row r="1746" ht="20.05" customHeight="1" x14ac:dyDescent="0.3"/>
    <row r="1747" ht="20.05" customHeight="1" x14ac:dyDescent="0.3"/>
    <row r="1748" ht="20.05" customHeight="1" x14ac:dyDescent="0.3"/>
    <row r="1749" ht="20.05" customHeight="1" x14ac:dyDescent="0.3"/>
    <row r="1750" ht="20.05" customHeight="1" x14ac:dyDescent="0.3"/>
    <row r="1751" ht="20.05" customHeight="1" x14ac:dyDescent="0.3"/>
    <row r="1752" ht="20.05" customHeight="1" x14ac:dyDescent="0.3"/>
    <row r="1753" ht="20.05" customHeight="1" x14ac:dyDescent="0.3"/>
    <row r="1754" ht="20.05" customHeight="1" x14ac:dyDescent="0.3"/>
    <row r="1755" ht="20.05" customHeight="1" x14ac:dyDescent="0.3"/>
    <row r="1756" ht="20.05" customHeight="1" x14ac:dyDescent="0.3"/>
    <row r="1757" ht="20.05" customHeight="1" x14ac:dyDescent="0.3"/>
    <row r="1758" ht="20.05" customHeight="1" x14ac:dyDescent="0.3"/>
    <row r="1759" ht="20.05" customHeight="1" x14ac:dyDescent="0.3"/>
    <row r="1760" ht="20.05" customHeight="1" x14ac:dyDescent="0.3"/>
    <row r="1761" ht="20.05" customHeight="1" x14ac:dyDescent="0.3"/>
    <row r="1762" ht="20.05" customHeight="1" x14ac:dyDescent="0.3"/>
    <row r="1763" ht="20.05" customHeight="1" x14ac:dyDescent="0.3"/>
    <row r="1764" ht="20.05" customHeight="1" x14ac:dyDescent="0.3"/>
    <row r="1765" ht="20.05" customHeight="1" x14ac:dyDescent="0.3"/>
    <row r="1766" ht="20.05" customHeight="1" x14ac:dyDescent="0.3"/>
    <row r="1767" ht="20.05" customHeight="1" x14ac:dyDescent="0.3"/>
    <row r="1768" ht="20.05" customHeight="1" x14ac:dyDescent="0.3"/>
    <row r="1769" ht="20.05" customHeight="1" x14ac:dyDescent="0.3"/>
    <row r="1770" ht="20.05" customHeight="1" x14ac:dyDescent="0.3"/>
    <row r="1771" ht="20.05" customHeight="1" x14ac:dyDescent="0.3"/>
    <row r="1772" ht="20.05" customHeight="1" x14ac:dyDescent="0.3"/>
    <row r="1773" ht="20.05" customHeight="1" x14ac:dyDescent="0.3"/>
    <row r="1774" ht="20.05" customHeight="1" x14ac:dyDescent="0.3"/>
    <row r="1775" ht="20.05" customHeight="1" x14ac:dyDescent="0.3"/>
    <row r="1776" ht="20.05" customHeight="1" x14ac:dyDescent="0.3"/>
    <row r="1777" ht="20.05" customHeight="1" x14ac:dyDescent="0.3"/>
    <row r="1778" ht="20.05" customHeight="1" x14ac:dyDescent="0.3"/>
    <row r="1779" ht="20.05" customHeight="1" x14ac:dyDescent="0.3"/>
    <row r="1780" ht="20.05" customHeight="1" x14ac:dyDescent="0.3"/>
    <row r="1781" ht="20.05" customHeight="1" x14ac:dyDescent="0.3"/>
    <row r="1782" ht="20.05" customHeight="1" x14ac:dyDescent="0.3"/>
    <row r="1783" ht="20.05" customHeight="1" x14ac:dyDescent="0.3"/>
    <row r="1784" ht="20.05" customHeight="1" x14ac:dyDescent="0.3"/>
    <row r="1785" ht="20.05" customHeight="1" x14ac:dyDescent="0.3"/>
    <row r="1786" ht="20.05" customHeight="1" x14ac:dyDescent="0.3"/>
    <row r="1787" ht="20.05" customHeight="1" x14ac:dyDescent="0.3"/>
    <row r="1788" ht="20.05" customHeight="1" x14ac:dyDescent="0.3"/>
    <row r="1789" ht="20.05" customHeight="1" x14ac:dyDescent="0.3"/>
    <row r="1790" ht="20.05" customHeight="1" x14ac:dyDescent="0.3"/>
    <row r="1791" ht="20.05" customHeight="1" x14ac:dyDescent="0.3"/>
    <row r="1792" ht="20.05" customHeight="1" x14ac:dyDescent="0.3"/>
    <row r="1793" ht="20.05" customHeight="1" x14ac:dyDescent="0.3"/>
    <row r="1794" ht="20.05" customHeight="1" x14ac:dyDescent="0.3"/>
    <row r="1795" ht="20.05" customHeight="1" x14ac:dyDescent="0.3"/>
    <row r="1796" ht="20.05" customHeight="1" x14ac:dyDescent="0.3"/>
    <row r="1797" ht="20.05" customHeight="1" x14ac:dyDescent="0.3"/>
    <row r="1798" ht="20.05" customHeight="1" x14ac:dyDescent="0.3"/>
    <row r="1799" ht="20.05" customHeight="1" x14ac:dyDescent="0.3"/>
    <row r="1800" ht="20.05" customHeight="1" x14ac:dyDescent="0.3"/>
    <row r="1801" ht="20.05" customHeight="1" x14ac:dyDescent="0.3"/>
    <row r="1802" ht="20.05" customHeight="1" x14ac:dyDescent="0.3"/>
    <row r="1803" ht="20.05" customHeight="1" x14ac:dyDescent="0.3"/>
    <row r="1804" ht="20.05" customHeight="1" x14ac:dyDescent="0.3"/>
    <row r="1805" ht="20.05" customHeight="1" x14ac:dyDescent="0.3"/>
    <row r="1806" ht="20.05" customHeight="1" x14ac:dyDescent="0.3"/>
    <row r="1807" ht="20.05" customHeight="1" x14ac:dyDescent="0.3"/>
    <row r="1808" ht="20.05" customHeight="1" x14ac:dyDescent="0.3"/>
    <row r="1809" ht="20.05" customHeight="1" x14ac:dyDescent="0.3"/>
    <row r="1810" ht="20.05" customHeight="1" x14ac:dyDescent="0.3"/>
    <row r="1811" ht="20.05" customHeight="1" x14ac:dyDescent="0.3"/>
    <row r="1812" ht="20.05" customHeight="1" x14ac:dyDescent="0.3"/>
    <row r="1813" ht="20.05" customHeight="1" x14ac:dyDescent="0.3"/>
    <row r="1814" ht="20.05" customHeight="1" x14ac:dyDescent="0.3"/>
    <row r="1815" ht="20.05" customHeight="1" x14ac:dyDescent="0.3"/>
    <row r="1816" ht="20.05" customHeight="1" x14ac:dyDescent="0.3"/>
    <row r="1817" ht="20.05" customHeight="1" x14ac:dyDescent="0.3"/>
    <row r="1818" ht="20.05" customHeight="1" x14ac:dyDescent="0.3"/>
    <row r="1819" ht="20.05" customHeight="1" x14ac:dyDescent="0.3"/>
    <row r="1820" ht="20.05" customHeight="1" x14ac:dyDescent="0.3"/>
    <row r="1821" ht="20.05" customHeight="1" x14ac:dyDescent="0.3"/>
    <row r="1822" ht="20.05" customHeight="1" x14ac:dyDescent="0.3"/>
    <row r="1823" ht="20.05" customHeight="1" x14ac:dyDescent="0.3"/>
    <row r="1824" ht="20.05" customHeight="1" x14ac:dyDescent="0.3"/>
    <row r="1825" ht="20.05" customHeight="1" x14ac:dyDescent="0.3"/>
    <row r="1826" ht="20.05" customHeight="1" x14ac:dyDescent="0.3"/>
    <row r="1827" ht="20.05" customHeight="1" x14ac:dyDescent="0.3"/>
    <row r="1828" ht="20.05" customHeight="1" x14ac:dyDescent="0.3"/>
    <row r="1829" ht="20.05" customHeight="1" x14ac:dyDescent="0.3"/>
    <row r="1830" ht="20.05" customHeight="1" x14ac:dyDescent="0.3"/>
    <row r="1831" ht="20.05" customHeight="1" x14ac:dyDescent="0.3"/>
    <row r="1832" ht="20.05" customHeight="1" x14ac:dyDescent="0.3"/>
    <row r="1833" ht="20.05" customHeight="1" x14ac:dyDescent="0.3"/>
    <row r="1834" ht="20.05" customHeight="1" x14ac:dyDescent="0.3"/>
    <row r="1835" ht="20.05" customHeight="1" x14ac:dyDescent="0.3"/>
    <row r="1836" ht="20.05" customHeight="1" x14ac:dyDescent="0.3"/>
    <row r="1837" ht="20.05" customHeight="1" x14ac:dyDescent="0.3"/>
    <row r="1838" ht="20.05" customHeight="1" x14ac:dyDescent="0.3"/>
    <row r="1839" ht="20.05" customHeight="1" x14ac:dyDescent="0.3"/>
    <row r="1840" ht="20.05" customHeight="1" x14ac:dyDescent="0.3"/>
    <row r="1841" ht="20.05" customHeight="1" x14ac:dyDescent="0.3"/>
    <row r="1842" ht="20.05" customHeight="1" x14ac:dyDescent="0.3"/>
    <row r="1843" ht="20.05" customHeight="1" x14ac:dyDescent="0.3"/>
    <row r="1844" ht="20.05" customHeight="1" x14ac:dyDescent="0.3"/>
    <row r="1845" ht="20.05" customHeight="1" x14ac:dyDescent="0.3"/>
    <row r="1846" ht="20.05" customHeight="1" x14ac:dyDescent="0.3"/>
    <row r="1847" ht="20.05" customHeight="1" x14ac:dyDescent="0.3"/>
    <row r="1848" ht="20.05" customHeight="1" x14ac:dyDescent="0.3"/>
    <row r="1849" ht="20.05" customHeight="1" x14ac:dyDescent="0.3"/>
    <row r="1850" ht="20.05" customHeight="1" x14ac:dyDescent="0.3"/>
    <row r="1851" ht="20.05" customHeight="1" x14ac:dyDescent="0.3"/>
    <row r="1852" ht="20.05" customHeight="1" x14ac:dyDescent="0.3"/>
    <row r="1853" ht="20.05" customHeight="1" x14ac:dyDescent="0.3"/>
    <row r="1854" ht="20.05" customHeight="1" x14ac:dyDescent="0.3"/>
    <row r="1855" ht="20.05" customHeight="1" x14ac:dyDescent="0.3"/>
    <row r="1856" ht="20.05" customHeight="1" x14ac:dyDescent="0.3"/>
    <row r="1857" ht="20.05" customHeight="1" x14ac:dyDescent="0.3"/>
    <row r="1858" ht="20.05" customHeight="1" x14ac:dyDescent="0.3"/>
    <row r="1859" ht="20.05" customHeight="1" x14ac:dyDescent="0.3"/>
    <row r="1860" ht="20.05" customHeight="1" x14ac:dyDescent="0.3"/>
    <row r="1861" ht="20.05" customHeight="1" x14ac:dyDescent="0.3"/>
    <row r="1862" ht="20.05" customHeight="1" x14ac:dyDescent="0.3"/>
    <row r="1863" ht="20.05" customHeight="1" x14ac:dyDescent="0.3"/>
    <row r="1864" ht="20.05" customHeight="1" x14ac:dyDescent="0.3"/>
    <row r="1865" ht="20.05" customHeight="1" x14ac:dyDescent="0.3"/>
    <row r="1866" ht="20.05" customHeight="1" x14ac:dyDescent="0.3"/>
    <row r="1867" ht="20.05" customHeight="1" x14ac:dyDescent="0.3"/>
    <row r="1868" ht="20.05" customHeight="1" x14ac:dyDescent="0.3"/>
    <row r="1869" ht="20.05" customHeight="1" x14ac:dyDescent="0.3"/>
    <row r="1870" ht="20.05" customHeight="1" x14ac:dyDescent="0.3"/>
    <row r="1871" ht="20.05" customHeight="1" x14ac:dyDescent="0.3"/>
    <row r="1872" ht="20.05" customHeight="1" x14ac:dyDescent="0.3"/>
    <row r="1873" ht="20.05" customHeight="1" x14ac:dyDescent="0.3"/>
    <row r="1874" ht="20.05" customHeight="1" x14ac:dyDescent="0.3"/>
    <row r="1875" ht="20.05" customHeight="1" x14ac:dyDescent="0.3"/>
    <row r="1876" ht="20.05" customHeight="1" x14ac:dyDescent="0.3"/>
    <row r="1877" ht="20.05" customHeight="1" x14ac:dyDescent="0.3"/>
    <row r="1878" ht="20.05" customHeight="1" x14ac:dyDescent="0.3"/>
    <row r="1879" ht="20.05" customHeight="1" x14ac:dyDescent="0.3"/>
    <row r="1880" ht="20.05" customHeight="1" x14ac:dyDescent="0.3"/>
    <row r="1881" ht="20.05" customHeight="1" x14ac:dyDescent="0.3"/>
    <row r="1882" ht="20.05" customHeight="1" x14ac:dyDescent="0.3"/>
    <row r="1883" ht="20.05" customHeight="1" x14ac:dyDescent="0.3"/>
    <row r="1884" ht="20.05" customHeight="1" x14ac:dyDescent="0.3"/>
    <row r="1885" ht="20.05" customHeight="1" x14ac:dyDescent="0.3"/>
    <row r="1886" ht="20.05" customHeight="1" x14ac:dyDescent="0.3"/>
    <row r="1887" ht="20.05" customHeight="1" x14ac:dyDescent="0.3"/>
    <row r="1888" ht="20.05" customHeight="1" x14ac:dyDescent="0.3"/>
    <row r="1889" ht="20.05" customHeight="1" x14ac:dyDescent="0.3"/>
    <row r="1890" ht="20.05" customHeight="1" x14ac:dyDescent="0.3"/>
    <row r="1891" ht="20.05" customHeight="1" x14ac:dyDescent="0.3"/>
    <row r="1892" ht="20.05" customHeight="1" x14ac:dyDescent="0.3"/>
    <row r="1893" ht="20.05" customHeight="1" x14ac:dyDescent="0.3"/>
    <row r="1894" ht="20.05" customHeight="1" x14ac:dyDescent="0.3"/>
    <row r="1895" ht="20.05" customHeight="1" x14ac:dyDescent="0.3"/>
    <row r="1896" ht="20.05" customHeight="1" x14ac:dyDescent="0.3"/>
    <row r="1897" ht="20.05" customHeight="1" x14ac:dyDescent="0.3"/>
    <row r="1898" ht="20.05" customHeight="1" x14ac:dyDescent="0.3"/>
    <row r="1899" ht="20.05" customHeight="1" x14ac:dyDescent="0.3"/>
    <row r="1900" ht="20.05" customHeight="1" x14ac:dyDescent="0.3"/>
    <row r="1901" ht="20.05" customHeight="1" x14ac:dyDescent="0.3"/>
    <row r="1902" ht="20.05" customHeight="1" x14ac:dyDescent="0.3"/>
    <row r="1903" ht="20.05" customHeight="1" x14ac:dyDescent="0.3"/>
    <row r="1904" ht="20.05" customHeight="1" x14ac:dyDescent="0.3"/>
    <row r="1905" ht="20.05" customHeight="1" x14ac:dyDescent="0.3"/>
    <row r="1906" ht="20.05" customHeight="1" x14ac:dyDescent="0.3"/>
    <row r="1907" ht="20.05" customHeight="1" x14ac:dyDescent="0.3"/>
    <row r="1908" ht="20.05" customHeight="1" x14ac:dyDescent="0.3"/>
    <row r="1909" ht="20.05" customHeight="1" x14ac:dyDescent="0.3"/>
    <row r="1910" ht="20.05" customHeight="1" x14ac:dyDescent="0.3"/>
    <row r="1911" ht="20.05" customHeight="1" x14ac:dyDescent="0.3"/>
    <row r="1912" ht="20.05" customHeight="1" x14ac:dyDescent="0.3"/>
    <row r="1913" ht="20.05" customHeight="1" x14ac:dyDescent="0.3"/>
    <row r="1914" ht="20.05" customHeight="1" x14ac:dyDescent="0.3"/>
    <row r="1915" ht="20.05" customHeight="1" x14ac:dyDescent="0.3"/>
    <row r="1916" ht="20.05" customHeight="1" x14ac:dyDescent="0.3"/>
    <row r="1917" ht="20.05" customHeight="1" x14ac:dyDescent="0.3"/>
    <row r="1918" ht="20.05" customHeight="1" x14ac:dyDescent="0.3"/>
    <row r="1919" ht="20.05" customHeight="1" x14ac:dyDescent="0.3"/>
    <row r="1920" ht="20.05" customHeight="1" x14ac:dyDescent="0.3"/>
    <row r="1921" ht="20.05" customHeight="1" x14ac:dyDescent="0.3"/>
    <row r="1922" ht="20.05" customHeight="1" x14ac:dyDescent="0.3"/>
    <row r="1923" ht="20.05" customHeight="1" x14ac:dyDescent="0.3"/>
    <row r="1924" ht="20.05" customHeight="1" x14ac:dyDescent="0.3"/>
    <row r="1925" ht="20.05" customHeight="1" x14ac:dyDescent="0.3"/>
    <row r="1926" ht="20.05" customHeight="1" x14ac:dyDescent="0.3"/>
    <row r="1927" ht="20.05" customHeight="1" x14ac:dyDescent="0.3"/>
    <row r="1928" ht="20.05" customHeight="1" x14ac:dyDescent="0.3"/>
    <row r="1929" ht="20.05" customHeight="1" x14ac:dyDescent="0.3"/>
    <row r="1930" ht="20.05" customHeight="1" x14ac:dyDescent="0.3"/>
    <row r="1931" ht="20.05" customHeight="1" x14ac:dyDescent="0.3"/>
    <row r="1932" ht="20.05" customHeight="1" x14ac:dyDescent="0.3"/>
    <row r="1933" ht="20.05" customHeight="1" x14ac:dyDescent="0.3"/>
    <row r="1934" ht="20.05" customHeight="1" x14ac:dyDescent="0.3"/>
    <row r="1935" ht="20.05" customHeight="1" x14ac:dyDescent="0.3"/>
    <row r="1936" ht="20.05" customHeight="1" x14ac:dyDescent="0.3"/>
    <row r="1937" ht="20.05" customHeight="1" x14ac:dyDescent="0.3"/>
    <row r="1938" ht="20.05" customHeight="1" x14ac:dyDescent="0.3"/>
    <row r="1939" ht="20.05" customHeight="1" x14ac:dyDescent="0.3"/>
    <row r="1940" ht="20.05" customHeight="1" x14ac:dyDescent="0.3"/>
    <row r="1941" ht="20.05" customHeight="1" x14ac:dyDescent="0.3"/>
    <row r="1942" ht="20.05" customHeight="1" x14ac:dyDescent="0.3"/>
    <row r="1943" ht="20.05" customHeight="1" x14ac:dyDescent="0.3"/>
    <row r="1944" ht="20.05" customHeight="1" x14ac:dyDescent="0.3"/>
    <row r="1945" ht="20.05" customHeight="1" x14ac:dyDescent="0.3"/>
    <row r="1946" ht="20.05" customHeight="1" x14ac:dyDescent="0.3"/>
    <row r="1947" ht="20.05" customHeight="1" x14ac:dyDescent="0.3"/>
    <row r="1948" ht="20.05" customHeight="1" x14ac:dyDescent="0.3"/>
    <row r="1949" ht="20.05" customHeight="1" x14ac:dyDescent="0.3"/>
    <row r="1950" ht="20.05" customHeight="1" x14ac:dyDescent="0.3"/>
    <row r="1951" ht="20.05" customHeight="1" x14ac:dyDescent="0.3"/>
    <row r="1952" ht="20.05" customHeight="1" x14ac:dyDescent="0.3"/>
    <row r="1953" ht="20.05" customHeight="1" x14ac:dyDescent="0.3"/>
    <row r="1954" ht="20.05" customHeight="1" x14ac:dyDescent="0.3"/>
    <row r="1955" ht="20.05" customHeight="1" x14ac:dyDescent="0.3"/>
    <row r="1956" ht="20.05" customHeight="1" x14ac:dyDescent="0.3"/>
    <row r="1957" ht="20.05" customHeight="1" x14ac:dyDescent="0.3"/>
    <row r="1958" ht="20.05" customHeight="1" x14ac:dyDescent="0.3"/>
    <row r="1959" ht="20.05" customHeight="1" x14ac:dyDescent="0.3"/>
    <row r="1960" ht="20.05" customHeight="1" x14ac:dyDescent="0.3"/>
    <row r="1961" ht="20.05" customHeight="1" x14ac:dyDescent="0.3"/>
    <row r="1962" ht="20.05" customHeight="1" x14ac:dyDescent="0.3"/>
    <row r="1963" ht="20.05" customHeight="1" x14ac:dyDescent="0.3"/>
    <row r="1964" ht="20.05" customHeight="1" x14ac:dyDescent="0.3"/>
    <row r="1965" ht="20.05" customHeight="1" x14ac:dyDescent="0.3"/>
    <row r="1966" ht="20.05" customHeight="1" x14ac:dyDescent="0.3"/>
    <row r="1967" ht="20.05" customHeight="1" x14ac:dyDescent="0.3"/>
    <row r="1968" ht="20.05" customHeight="1" x14ac:dyDescent="0.3"/>
    <row r="1969" ht="20.05" customHeight="1" x14ac:dyDescent="0.3"/>
    <row r="1970" ht="20.05" customHeight="1" x14ac:dyDescent="0.3"/>
    <row r="1971" ht="20.05" customHeight="1" x14ac:dyDescent="0.3"/>
    <row r="1972" ht="20.05" customHeight="1" x14ac:dyDescent="0.3"/>
    <row r="1973" ht="20.05" customHeight="1" x14ac:dyDescent="0.3"/>
    <row r="1974" ht="20.05" customHeight="1" x14ac:dyDescent="0.3"/>
    <row r="1975" ht="20.05" customHeight="1" x14ac:dyDescent="0.3"/>
    <row r="1976" ht="20.05" customHeight="1" x14ac:dyDescent="0.3"/>
    <row r="1977" ht="20.05" customHeight="1" x14ac:dyDescent="0.3"/>
    <row r="1978" ht="20.05" customHeight="1" x14ac:dyDescent="0.3"/>
    <row r="1979" ht="20.05" customHeight="1" x14ac:dyDescent="0.3"/>
    <row r="1980" ht="20.05" customHeight="1" x14ac:dyDescent="0.3"/>
    <row r="1981" ht="20.05" customHeight="1" x14ac:dyDescent="0.3"/>
    <row r="1982" ht="20.05" customHeight="1" x14ac:dyDescent="0.3"/>
    <row r="1983" ht="20.05" customHeight="1" x14ac:dyDescent="0.3"/>
    <row r="1984" ht="20.05" customHeight="1" x14ac:dyDescent="0.3"/>
    <row r="1985" ht="20.05" customHeight="1" x14ac:dyDescent="0.3"/>
    <row r="1986" ht="20.05" customHeight="1" x14ac:dyDescent="0.3"/>
    <row r="1987" ht="20.05" customHeight="1" x14ac:dyDescent="0.3"/>
    <row r="1988" ht="20.05" customHeight="1" x14ac:dyDescent="0.3"/>
    <row r="1989" ht="20.05" customHeight="1" x14ac:dyDescent="0.3"/>
    <row r="1990" ht="20.05" customHeight="1" x14ac:dyDescent="0.3"/>
    <row r="1991" ht="20.05" customHeight="1" x14ac:dyDescent="0.3"/>
    <row r="1992" ht="20.05" customHeight="1" x14ac:dyDescent="0.3"/>
    <row r="1993" ht="20.05" customHeight="1" x14ac:dyDescent="0.3"/>
    <row r="1994" ht="20.05" customHeight="1" x14ac:dyDescent="0.3"/>
    <row r="1995" ht="20.05" customHeight="1" x14ac:dyDescent="0.3"/>
    <row r="1996" ht="20.05" customHeight="1" x14ac:dyDescent="0.3"/>
    <row r="1997" ht="20.05" customHeight="1" x14ac:dyDescent="0.3"/>
    <row r="1998" ht="20.05" customHeight="1" x14ac:dyDescent="0.3"/>
    <row r="1999" ht="20.05" customHeight="1" x14ac:dyDescent="0.3"/>
    <row r="2000" ht="20.05" customHeight="1" x14ac:dyDescent="0.3"/>
    <row r="2001" ht="20.05" customHeight="1" x14ac:dyDescent="0.3"/>
    <row r="2002" ht="20.05" customHeight="1" x14ac:dyDescent="0.3"/>
    <row r="2003" ht="20.05" customHeight="1" x14ac:dyDescent="0.3"/>
    <row r="2004" ht="20.05" customHeight="1" x14ac:dyDescent="0.3"/>
    <row r="2005" ht="20.05" customHeight="1" x14ac:dyDescent="0.3"/>
    <row r="2006" ht="20.05" customHeight="1" x14ac:dyDescent="0.3"/>
    <row r="2007" ht="20.05" customHeight="1" x14ac:dyDescent="0.3"/>
    <row r="2008" ht="20.05" customHeight="1" x14ac:dyDescent="0.3"/>
    <row r="2009" ht="20.05" customHeight="1" x14ac:dyDescent="0.3"/>
    <row r="2010" ht="20.05" customHeight="1" x14ac:dyDescent="0.3"/>
    <row r="2011" ht="20.05" customHeight="1" x14ac:dyDescent="0.3"/>
    <row r="2012" ht="20.05" customHeight="1" x14ac:dyDescent="0.3"/>
    <row r="2013" ht="20.05" customHeight="1" x14ac:dyDescent="0.3"/>
    <row r="2014" ht="20.05" customHeight="1" x14ac:dyDescent="0.3"/>
    <row r="2015" ht="20.05" customHeight="1" x14ac:dyDescent="0.3"/>
    <row r="2016" ht="20.05" customHeight="1" x14ac:dyDescent="0.3"/>
    <row r="2017" ht="20.05" customHeight="1" x14ac:dyDescent="0.3"/>
    <row r="2018" ht="20.05" customHeight="1" x14ac:dyDescent="0.3"/>
    <row r="2019" ht="20.05" customHeight="1" x14ac:dyDescent="0.3"/>
    <row r="2020" ht="20.05" customHeight="1" x14ac:dyDescent="0.3"/>
    <row r="2021" ht="20.05" customHeight="1" x14ac:dyDescent="0.3"/>
    <row r="2022" ht="20.05" customHeight="1" x14ac:dyDescent="0.3"/>
    <row r="2023" ht="20.05" customHeight="1" x14ac:dyDescent="0.3"/>
    <row r="2024" ht="20.05" customHeight="1" x14ac:dyDescent="0.3"/>
    <row r="2025" ht="20.05" customHeight="1" x14ac:dyDescent="0.3"/>
    <row r="2026" ht="20.05" customHeight="1" x14ac:dyDescent="0.3"/>
    <row r="2027" ht="20.05" customHeight="1" x14ac:dyDescent="0.3"/>
    <row r="2028" ht="20.05" customHeight="1" x14ac:dyDescent="0.3"/>
    <row r="2029" ht="20.05" customHeight="1" x14ac:dyDescent="0.3"/>
    <row r="2030" ht="20.05" customHeight="1" x14ac:dyDescent="0.3"/>
    <row r="2031" ht="20.05" customHeight="1" x14ac:dyDescent="0.3"/>
    <row r="2032" ht="20.05" customHeight="1" x14ac:dyDescent="0.3"/>
    <row r="2033" ht="20.05" customHeight="1" x14ac:dyDescent="0.3"/>
    <row r="2034" ht="20.05" customHeight="1" x14ac:dyDescent="0.3"/>
    <row r="2035" ht="20.05" customHeight="1" x14ac:dyDescent="0.3"/>
    <row r="2036" ht="20.05" customHeight="1" x14ac:dyDescent="0.3"/>
    <row r="2037" ht="20.05" customHeight="1" x14ac:dyDescent="0.3"/>
    <row r="2038" ht="20.05" customHeight="1" x14ac:dyDescent="0.3"/>
    <row r="2039" ht="20.05" customHeight="1" x14ac:dyDescent="0.3"/>
    <row r="2040" ht="20.05" customHeight="1" x14ac:dyDescent="0.3"/>
    <row r="2041" ht="20.05" customHeight="1" x14ac:dyDescent="0.3"/>
    <row r="2042" ht="20.05" customHeight="1" x14ac:dyDescent="0.3"/>
    <row r="2043" ht="20.05" customHeight="1" x14ac:dyDescent="0.3"/>
    <row r="2044" ht="20.05" customHeight="1" x14ac:dyDescent="0.3"/>
    <row r="2045" ht="20.05" customHeight="1" x14ac:dyDescent="0.3"/>
    <row r="2046" ht="20.05" customHeight="1" x14ac:dyDescent="0.3"/>
    <row r="2047" ht="20.05" customHeight="1" x14ac:dyDescent="0.3"/>
    <row r="2048" ht="20.05" customHeight="1" x14ac:dyDescent="0.3"/>
    <row r="2049" ht="20.05" customHeight="1" x14ac:dyDescent="0.3"/>
    <row r="2050" ht="20.05" customHeight="1" x14ac:dyDescent="0.3"/>
    <row r="2051" ht="20.05" customHeight="1" x14ac:dyDescent="0.3"/>
    <row r="2052" ht="20.05" customHeight="1" x14ac:dyDescent="0.3"/>
    <row r="2053" ht="20.05" customHeight="1" x14ac:dyDescent="0.3"/>
    <row r="2054" ht="20.05" customHeight="1" x14ac:dyDescent="0.3"/>
    <row r="2055" ht="20.05" customHeight="1" x14ac:dyDescent="0.3"/>
    <row r="2056" ht="20.05" customHeight="1" x14ac:dyDescent="0.3"/>
    <row r="2057" ht="20.05" customHeight="1" x14ac:dyDescent="0.3"/>
    <row r="2058" ht="20.05" customHeight="1" x14ac:dyDescent="0.3"/>
    <row r="2059" ht="20.05" customHeight="1" x14ac:dyDescent="0.3"/>
    <row r="2060" ht="20.05" customHeight="1" x14ac:dyDescent="0.3"/>
    <row r="2061" ht="20.05" customHeight="1" x14ac:dyDescent="0.3"/>
    <row r="2062" ht="20.05" customHeight="1" x14ac:dyDescent="0.3"/>
    <row r="2063" ht="20.05" customHeight="1" x14ac:dyDescent="0.3"/>
    <row r="2064" ht="20.05" customHeight="1" x14ac:dyDescent="0.3"/>
    <row r="2065" ht="20.05" customHeight="1" x14ac:dyDescent="0.3"/>
    <row r="2066" ht="20.05" customHeight="1" x14ac:dyDescent="0.3"/>
    <row r="2067" ht="20.05" customHeight="1" x14ac:dyDescent="0.3"/>
    <row r="2068" ht="20.05" customHeight="1" x14ac:dyDescent="0.3"/>
    <row r="2069" ht="20.05" customHeight="1" x14ac:dyDescent="0.3"/>
    <row r="2070" ht="20.05" customHeight="1" x14ac:dyDescent="0.3"/>
    <row r="2071" ht="20.05" customHeight="1" x14ac:dyDescent="0.3"/>
    <row r="2072" ht="20.05" customHeight="1" x14ac:dyDescent="0.3"/>
    <row r="2073" ht="20.05" customHeight="1" x14ac:dyDescent="0.3"/>
    <row r="2074" ht="20.05" customHeight="1" x14ac:dyDescent="0.3"/>
    <row r="2075" ht="20.05" customHeight="1" x14ac:dyDescent="0.3"/>
    <row r="2076" ht="20.05" customHeight="1" x14ac:dyDescent="0.3"/>
    <row r="2077" ht="20.05" customHeight="1" x14ac:dyDescent="0.3"/>
    <row r="2078" ht="20.05" customHeight="1" x14ac:dyDescent="0.3"/>
    <row r="2079" ht="20.05" customHeight="1" x14ac:dyDescent="0.3"/>
    <row r="2080" ht="20.05" customHeight="1" x14ac:dyDescent="0.3"/>
    <row r="2081" ht="20.05" customHeight="1" x14ac:dyDescent="0.3"/>
    <row r="2082" ht="20.05" customHeight="1" x14ac:dyDescent="0.3"/>
    <row r="2083" ht="20.05" customHeight="1" x14ac:dyDescent="0.3"/>
    <row r="2084" ht="20.05" customHeight="1" x14ac:dyDescent="0.3"/>
    <row r="2085" ht="20.05" customHeight="1" x14ac:dyDescent="0.3"/>
    <row r="2086" ht="20.05" customHeight="1" x14ac:dyDescent="0.3"/>
    <row r="2087" ht="20.05" customHeight="1" x14ac:dyDescent="0.3"/>
    <row r="2088" ht="20.05" customHeight="1" x14ac:dyDescent="0.3"/>
    <row r="2089" ht="20.05" customHeight="1" x14ac:dyDescent="0.3"/>
    <row r="2090" ht="20.05" customHeight="1" x14ac:dyDescent="0.3"/>
    <row r="2091" ht="20.05" customHeight="1" x14ac:dyDescent="0.3"/>
    <row r="2092" ht="20.05" customHeight="1" x14ac:dyDescent="0.3"/>
    <row r="2093" ht="20.05" customHeight="1" x14ac:dyDescent="0.3"/>
    <row r="2094" ht="20.05" customHeight="1" x14ac:dyDescent="0.3"/>
    <row r="2095" ht="20.05" customHeight="1" x14ac:dyDescent="0.3"/>
    <row r="2096" ht="20.05" customHeight="1" x14ac:dyDescent="0.3"/>
    <row r="2097" ht="20.05" customHeight="1" x14ac:dyDescent="0.3"/>
    <row r="2098" ht="20.05" customHeight="1" x14ac:dyDescent="0.3"/>
    <row r="2099" ht="20.05" customHeight="1" x14ac:dyDescent="0.3"/>
    <row r="2100" ht="20.05" customHeight="1" x14ac:dyDescent="0.3"/>
    <row r="2101" ht="20.05" customHeight="1" x14ac:dyDescent="0.3"/>
    <row r="2102" ht="20.05" customHeight="1" x14ac:dyDescent="0.3"/>
    <row r="2103" ht="20.05" customHeight="1" x14ac:dyDescent="0.3"/>
    <row r="2104" ht="20.05" customHeight="1" x14ac:dyDescent="0.3"/>
    <row r="2105" ht="20.05" customHeight="1" x14ac:dyDescent="0.3"/>
    <row r="2106" ht="20.05" customHeight="1" x14ac:dyDescent="0.3"/>
    <row r="2107" ht="20.05" customHeight="1" x14ac:dyDescent="0.3"/>
    <row r="2108" ht="20.05" customHeight="1" x14ac:dyDescent="0.3"/>
    <row r="2109" ht="20.05" customHeight="1" x14ac:dyDescent="0.3"/>
    <row r="2110" ht="20.05" customHeight="1" x14ac:dyDescent="0.3"/>
    <row r="2111" ht="20.05" customHeight="1" x14ac:dyDescent="0.3"/>
    <row r="2112" ht="20.05" customHeight="1" x14ac:dyDescent="0.3"/>
    <row r="2113" ht="20.05" customHeight="1" x14ac:dyDescent="0.3"/>
    <row r="2114" ht="20.05" customHeight="1" x14ac:dyDescent="0.3"/>
    <row r="2115" ht="20.05" customHeight="1" x14ac:dyDescent="0.3"/>
    <row r="2116" ht="20.05" customHeight="1" x14ac:dyDescent="0.3"/>
    <row r="2117" ht="20.05" customHeight="1" x14ac:dyDescent="0.3"/>
    <row r="2118" ht="20.05" customHeight="1" x14ac:dyDescent="0.3"/>
    <row r="2119" ht="20.05" customHeight="1" x14ac:dyDescent="0.3"/>
    <row r="2120" ht="20.05" customHeight="1" x14ac:dyDescent="0.3"/>
    <row r="2121" ht="20.05" customHeight="1" x14ac:dyDescent="0.3"/>
    <row r="2122" ht="20.05" customHeight="1" x14ac:dyDescent="0.3"/>
    <row r="2123" ht="20.05" customHeight="1" x14ac:dyDescent="0.3"/>
    <row r="2124" ht="20.05" customHeight="1" x14ac:dyDescent="0.3"/>
    <row r="2125" ht="20.05" customHeight="1" x14ac:dyDescent="0.3"/>
    <row r="2126" ht="20.05" customHeight="1" x14ac:dyDescent="0.3"/>
    <row r="2127" ht="20.05" customHeight="1" x14ac:dyDescent="0.3"/>
    <row r="2128" ht="20.05" customHeight="1" x14ac:dyDescent="0.3"/>
    <row r="2129" ht="20.05" customHeight="1" x14ac:dyDescent="0.3"/>
    <row r="2130" ht="20.05" customHeight="1" x14ac:dyDescent="0.3"/>
    <row r="2131" ht="20.05" customHeight="1" x14ac:dyDescent="0.3"/>
    <row r="2132" ht="20.05" customHeight="1" x14ac:dyDescent="0.3"/>
    <row r="2133" ht="20.05" customHeight="1" x14ac:dyDescent="0.3"/>
    <row r="2134" ht="20.05" customHeight="1" x14ac:dyDescent="0.3"/>
    <row r="2135" ht="20.05" customHeight="1" x14ac:dyDescent="0.3"/>
    <row r="2136" ht="20.05" customHeight="1" x14ac:dyDescent="0.3"/>
    <row r="2137" ht="20.05" customHeight="1" x14ac:dyDescent="0.3"/>
    <row r="2138" ht="20.05" customHeight="1" x14ac:dyDescent="0.3"/>
    <row r="2139" ht="20.05" customHeight="1" x14ac:dyDescent="0.3"/>
    <row r="2140" ht="20.05" customHeight="1" x14ac:dyDescent="0.3"/>
    <row r="2141" ht="20.05" customHeight="1" x14ac:dyDescent="0.3"/>
    <row r="2142" ht="20.05" customHeight="1" x14ac:dyDescent="0.3"/>
    <row r="2143" ht="20.05" customHeight="1" x14ac:dyDescent="0.3"/>
    <row r="2144" ht="20.05" customHeight="1" x14ac:dyDescent="0.3"/>
    <row r="2145" ht="20.05" customHeight="1" x14ac:dyDescent="0.3"/>
    <row r="2146" ht="20.05" customHeight="1" x14ac:dyDescent="0.3"/>
    <row r="2147" ht="20.05" customHeight="1" x14ac:dyDescent="0.3"/>
    <row r="2148" ht="20.05" customHeight="1" x14ac:dyDescent="0.3"/>
    <row r="2149" ht="20.05" customHeight="1" x14ac:dyDescent="0.3"/>
    <row r="2150" ht="20.05" customHeight="1" x14ac:dyDescent="0.3"/>
    <row r="2151" ht="20.05" customHeight="1" x14ac:dyDescent="0.3"/>
    <row r="2152" ht="20.05" customHeight="1" x14ac:dyDescent="0.3"/>
    <row r="2153" ht="20.05" customHeight="1" x14ac:dyDescent="0.3"/>
    <row r="2154" ht="20.05" customHeight="1" x14ac:dyDescent="0.3"/>
    <row r="2155" ht="20.05" customHeight="1" x14ac:dyDescent="0.3"/>
    <row r="2156" ht="20.05" customHeight="1" x14ac:dyDescent="0.3"/>
    <row r="2157" ht="20.05" customHeight="1" x14ac:dyDescent="0.3"/>
    <row r="2158" ht="20.05" customHeight="1" x14ac:dyDescent="0.3"/>
    <row r="2159" ht="20.05" customHeight="1" x14ac:dyDescent="0.3"/>
    <row r="2160" ht="20.05" customHeight="1" x14ac:dyDescent="0.3"/>
    <row r="2161" ht="20.05" customHeight="1" x14ac:dyDescent="0.3"/>
    <row r="2162" ht="20.05" customHeight="1" x14ac:dyDescent="0.3"/>
    <row r="2163" ht="20.05" customHeight="1" x14ac:dyDescent="0.3"/>
    <row r="2164" ht="20.05" customHeight="1" x14ac:dyDescent="0.3"/>
    <row r="2165" ht="20.05" customHeight="1" x14ac:dyDescent="0.3"/>
    <row r="2166" ht="20.05" customHeight="1" x14ac:dyDescent="0.3"/>
    <row r="2167" ht="20.05" customHeight="1" x14ac:dyDescent="0.3"/>
    <row r="2168" ht="20.05" customHeight="1" x14ac:dyDescent="0.3"/>
    <row r="2169" ht="20.05" customHeight="1" x14ac:dyDescent="0.3"/>
    <row r="2170" ht="20.05" customHeight="1" x14ac:dyDescent="0.3"/>
    <row r="2171" ht="20.05" customHeight="1" x14ac:dyDescent="0.3"/>
    <row r="2172" ht="20.05" customHeight="1" x14ac:dyDescent="0.3"/>
    <row r="2173" ht="20.05" customHeight="1" x14ac:dyDescent="0.3"/>
    <row r="2174" ht="20.05" customHeight="1" x14ac:dyDescent="0.3"/>
    <row r="2175" ht="20.05" customHeight="1" x14ac:dyDescent="0.3"/>
    <row r="2176" ht="20.05" customHeight="1" x14ac:dyDescent="0.3"/>
    <row r="2177" ht="20.05" customHeight="1" x14ac:dyDescent="0.3"/>
    <row r="2178" ht="20.05" customHeight="1" x14ac:dyDescent="0.3"/>
    <row r="2179" ht="20.05" customHeight="1" x14ac:dyDescent="0.3"/>
    <row r="2180" ht="20.05" customHeight="1" x14ac:dyDescent="0.3"/>
    <row r="2181" ht="20.05" customHeight="1" x14ac:dyDescent="0.3"/>
    <row r="2182" ht="20.05" customHeight="1" x14ac:dyDescent="0.3"/>
    <row r="2183" ht="20.05" customHeight="1" x14ac:dyDescent="0.3"/>
    <row r="2184" ht="20.05" customHeight="1" x14ac:dyDescent="0.3"/>
    <row r="2185" ht="20.05" customHeight="1" x14ac:dyDescent="0.3"/>
    <row r="2186" ht="20.05" customHeight="1" x14ac:dyDescent="0.3"/>
    <row r="2187" ht="20.05" customHeight="1" x14ac:dyDescent="0.3"/>
    <row r="2188" ht="20.05" customHeight="1" x14ac:dyDescent="0.3"/>
    <row r="2189" ht="20.05" customHeight="1" x14ac:dyDescent="0.3"/>
    <row r="2190" ht="20.05" customHeight="1" x14ac:dyDescent="0.3"/>
    <row r="2191" ht="20.05" customHeight="1" x14ac:dyDescent="0.3"/>
    <row r="2192" ht="20.05" customHeight="1" x14ac:dyDescent="0.3"/>
    <row r="2193" ht="20.05" customHeight="1" x14ac:dyDescent="0.3"/>
    <row r="2194" ht="20.05" customHeight="1" x14ac:dyDescent="0.3"/>
    <row r="2195" ht="20.05" customHeight="1" x14ac:dyDescent="0.3"/>
    <row r="2196" ht="20.05" customHeight="1" x14ac:dyDescent="0.3"/>
    <row r="2197" ht="20.05" customHeight="1" x14ac:dyDescent="0.3"/>
  </sheetData>
  <sheetProtection selectLockedCells="1"/>
  <mergeCells count="1">
    <mergeCell ref="A1:B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04AF4-5CF4-41C0-A0A8-F58024A1A3B8}">
  <sheetPr codeName="Sheet9">
    <tabColor theme="0" tint="-0.499984740745262"/>
  </sheetPr>
  <dimension ref="A1:B2197"/>
  <sheetViews>
    <sheetView workbookViewId="0">
      <selection activeCell="N24" sqref="N24"/>
    </sheetView>
  </sheetViews>
  <sheetFormatPr defaultColWidth="9.109375" defaultRowHeight="15.05" x14ac:dyDescent="0.3"/>
  <cols>
    <col min="1" max="1" width="18.109375" style="1" customWidth="1"/>
    <col min="2" max="2" width="27.33203125" style="1" customWidth="1"/>
    <col min="3" max="16384" width="9.109375" style="1"/>
  </cols>
  <sheetData>
    <row r="1" spans="1:2" ht="98.3" customHeight="1" x14ac:dyDescent="0.3">
      <c r="A1" s="121"/>
      <c r="B1" s="121"/>
    </row>
    <row r="2" spans="1:2" ht="20.05" customHeight="1" x14ac:dyDescent="0.3">
      <c r="A2" s="3" t="s">
        <v>0</v>
      </c>
      <c r="B2" s="4">
        <f>'Client Information'!B2</f>
        <v>0</v>
      </c>
    </row>
    <row r="3" spans="1:2" ht="20.05" customHeight="1" x14ac:dyDescent="0.3">
      <c r="A3" s="3" t="s">
        <v>1</v>
      </c>
      <c r="B3" s="4">
        <f>'Client Information'!B3</f>
        <v>0</v>
      </c>
    </row>
    <row r="4" spans="1:2" ht="20.05" customHeight="1" x14ac:dyDescent="0.3">
      <c r="A4" s="3" t="s">
        <v>2</v>
      </c>
      <c r="B4" s="4">
        <f>'Client Information'!B4</f>
        <v>0</v>
      </c>
    </row>
    <row r="5" spans="1:2" ht="20.05" customHeight="1" x14ac:dyDescent="0.3">
      <c r="A5" s="3" t="s">
        <v>3</v>
      </c>
      <c r="B5" s="4">
        <f>'Client Information'!B5</f>
        <v>0</v>
      </c>
    </row>
    <row r="6" spans="1:2" ht="20.05" customHeight="1" x14ac:dyDescent="0.3">
      <c r="A6" s="3" t="s">
        <v>4</v>
      </c>
      <c r="B6" s="4">
        <f>'Client Information'!B6</f>
        <v>0</v>
      </c>
    </row>
    <row r="7" spans="1:2" ht="20.05" customHeight="1" x14ac:dyDescent="0.3">
      <c r="A7" s="3" t="s">
        <v>5</v>
      </c>
      <c r="B7" s="4">
        <f>'Client Information'!B7</f>
        <v>0</v>
      </c>
    </row>
    <row r="8" spans="1:2" ht="20.05" customHeight="1" x14ac:dyDescent="0.3">
      <c r="A8" s="3" t="s">
        <v>6</v>
      </c>
      <c r="B8" s="4">
        <f>'Client Information'!B8</f>
        <v>0</v>
      </c>
    </row>
    <row r="9" spans="1:2" ht="20.05" customHeight="1" x14ac:dyDescent="0.3">
      <c r="A9" s="3" t="s">
        <v>7</v>
      </c>
      <c r="B9" s="4">
        <f>'Client Information'!B9</f>
        <v>0</v>
      </c>
    </row>
    <row r="10" spans="1:2" ht="20.05" customHeight="1" x14ac:dyDescent="0.3">
      <c r="A10" s="3" t="s">
        <v>8</v>
      </c>
      <c r="B10" s="4">
        <f>'Client Information'!B10</f>
        <v>0</v>
      </c>
    </row>
    <row r="11" spans="1:2" ht="20.05" customHeight="1" x14ac:dyDescent="0.3"/>
    <row r="12" spans="1:2" ht="20.05" customHeight="1" x14ac:dyDescent="0.3"/>
    <row r="13" spans="1:2" ht="20.05" customHeight="1" x14ac:dyDescent="0.3"/>
    <row r="14" spans="1:2" ht="20.05" customHeight="1" x14ac:dyDescent="0.3"/>
    <row r="15" spans="1:2" ht="20.05" customHeight="1" x14ac:dyDescent="0.3"/>
    <row r="16" spans="1:2" ht="20.05" customHeight="1" x14ac:dyDescent="0.3"/>
    <row r="17" ht="20.05" customHeight="1" x14ac:dyDescent="0.3"/>
    <row r="18" ht="20.05" customHeight="1" x14ac:dyDescent="0.3"/>
    <row r="19" ht="20.05" customHeight="1" x14ac:dyDescent="0.3"/>
    <row r="20" ht="20.05" customHeight="1" x14ac:dyDescent="0.3"/>
    <row r="21" ht="20.05" customHeight="1" x14ac:dyDescent="0.3"/>
    <row r="22" ht="20.05" customHeight="1" x14ac:dyDescent="0.3"/>
    <row r="23" ht="20.05" customHeight="1" x14ac:dyDescent="0.3"/>
    <row r="24" ht="20.05" customHeight="1" x14ac:dyDescent="0.3"/>
    <row r="25" ht="20.05" customHeight="1" x14ac:dyDescent="0.3"/>
    <row r="26" ht="20.05" customHeight="1" x14ac:dyDescent="0.3"/>
    <row r="27" ht="20.05" customHeight="1" x14ac:dyDescent="0.3"/>
    <row r="28" ht="20.05" customHeight="1" x14ac:dyDescent="0.3"/>
    <row r="29" ht="20.05" customHeight="1" x14ac:dyDescent="0.3"/>
    <row r="30" ht="20.05" customHeight="1" x14ac:dyDescent="0.3"/>
    <row r="31" ht="20.05" customHeight="1" x14ac:dyDescent="0.3"/>
    <row r="32" ht="20.05" customHeight="1" x14ac:dyDescent="0.3"/>
    <row r="33" ht="20.05" customHeight="1" x14ac:dyDescent="0.3"/>
    <row r="34" ht="20.05" customHeight="1" x14ac:dyDescent="0.3"/>
    <row r="35" ht="20.05" customHeight="1" x14ac:dyDescent="0.3"/>
    <row r="36" ht="20.05" customHeight="1" x14ac:dyDescent="0.3"/>
    <row r="37" ht="20.05" customHeight="1" x14ac:dyDescent="0.3"/>
    <row r="38" ht="20.05" customHeight="1" x14ac:dyDescent="0.3"/>
    <row r="39" ht="20.05" customHeight="1" x14ac:dyDescent="0.3"/>
    <row r="40" ht="20.05" customHeight="1" x14ac:dyDescent="0.3"/>
    <row r="41" ht="20.05" customHeight="1" x14ac:dyDescent="0.3"/>
    <row r="42" ht="20.05" customHeight="1" x14ac:dyDescent="0.3"/>
    <row r="43" ht="20.05" customHeight="1" x14ac:dyDescent="0.3"/>
    <row r="44" ht="20.05" customHeight="1" x14ac:dyDescent="0.3"/>
    <row r="45" ht="20.05" customHeight="1" x14ac:dyDescent="0.3"/>
    <row r="46" ht="20.05" customHeight="1" x14ac:dyDescent="0.3"/>
    <row r="47" ht="20.05" customHeight="1" x14ac:dyDescent="0.3"/>
    <row r="48" ht="20.05" customHeight="1" x14ac:dyDescent="0.3"/>
    <row r="49" ht="20.05" customHeight="1" x14ac:dyDescent="0.3"/>
    <row r="50" ht="20.05" customHeight="1" x14ac:dyDescent="0.3"/>
    <row r="51" ht="20.05" customHeight="1" x14ac:dyDescent="0.3"/>
    <row r="52" ht="20.05" customHeight="1" x14ac:dyDescent="0.3"/>
    <row r="53" ht="20.05" customHeight="1" x14ac:dyDescent="0.3"/>
    <row r="54" ht="20.05" customHeight="1" x14ac:dyDescent="0.3"/>
    <row r="55" ht="20.05" customHeight="1" x14ac:dyDescent="0.3"/>
    <row r="56" ht="20.05" customHeight="1" x14ac:dyDescent="0.3"/>
    <row r="57" ht="20.05" customHeight="1" x14ac:dyDescent="0.3"/>
    <row r="58" ht="20.05" customHeight="1" x14ac:dyDescent="0.3"/>
    <row r="59" ht="20.05" customHeight="1" x14ac:dyDescent="0.3"/>
    <row r="60" ht="20.05" customHeight="1" x14ac:dyDescent="0.3"/>
    <row r="61" ht="20.05" customHeight="1" x14ac:dyDescent="0.3"/>
    <row r="62" ht="20.05" customHeight="1" x14ac:dyDescent="0.3"/>
    <row r="63" ht="20.05" customHeight="1" x14ac:dyDescent="0.3"/>
    <row r="64" ht="20.05" customHeight="1" x14ac:dyDescent="0.3"/>
    <row r="65" ht="20.05" customHeight="1" x14ac:dyDescent="0.3"/>
    <row r="66" ht="20.05" customHeight="1" x14ac:dyDescent="0.3"/>
    <row r="67" ht="20.05" customHeight="1" x14ac:dyDescent="0.3"/>
    <row r="68" ht="20.05" customHeight="1" x14ac:dyDescent="0.3"/>
    <row r="69" ht="20.05" customHeight="1" x14ac:dyDescent="0.3"/>
    <row r="70" ht="20.05" customHeight="1" x14ac:dyDescent="0.3"/>
    <row r="71" ht="20.05" customHeight="1" x14ac:dyDescent="0.3"/>
    <row r="72" ht="20.05" customHeight="1" x14ac:dyDescent="0.3"/>
    <row r="73" ht="20.05" customHeight="1" x14ac:dyDescent="0.3"/>
    <row r="74" ht="20.05" customHeight="1" x14ac:dyDescent="0.3"/>
    <row r="75" ht="20.05" customHeight="1" x14ac:dyDescent="0.3"/>
    <row r="76" ht="20.05" customHeight="1" x14ac:dyDescent="0.3"/>
    <row r="77" ht="20.05" customHeight="1" x14ac:dyDescent="0.3"/>
    <row r="78" ht="20.05" customHeight="1" x14ac:dyDescent="0.3"/>
    <row r="79" ht="20.05" customHeight="1" x14ac:dyDescent="0.3"/>
    <row r="80" ht="20.05" customHeight="1" x14ac:dyDescent="0.3"/>
    <row r="81" ht="20.05" customHeight="1" x14ac:dyDescent="0.3"/>
    <row r="82" ht="20.05" customHeight="1" x14ac:dyDescent="0.3"/>
    <row r="83" ht="20.05" customHeight="1" x14ac:dyDescent="0.3"/>
    <row r="84" ht="20.05" customHeight="1" x14ac:dyDescent="0.3"/>
    <row r="85" ht="20.05" customHeight="1" x14ac:dyDescent="0.3"/>
    <row r="86" ht="20.05" customHeight="1" x14ac:dyDescent="0.3"/>
    <row r="87" ht="20.05" customHeight="1" x14ac:dyDescent="0.3"/>
    <row r="88" ht="20.05" customHeight="1" x14ac:dyDescent="0.3"/>
    <row r="89" ht="20.05" customHeight="1" x14ac:dyDescent="0.3"/>
    <row r="90" ht="20.05" customHeight="1" x14ac:dyDescent="0.3"/>
    <row r="91" ht="20.05" customHeight="1" x14ac:dyDescent="0.3"/>
    <row r="92" ht="20.05" customHeight="1" x14ac:dyDescent="0.3"/>
    <row r="93" ht="20.05" customHeight="1" x14ac:dyDescent="0.3"/>
    <row r="94" ht="20.05" customHeight="1" x14ac:dyDescent="0.3"/>
    <row r="95" ht="20.05" customHeight="1" x14ac:dyDescent="0.3"/>
    <row r="96" ht="20.05" customHeight="1" x14ac:dyDescent="0.3"/>
    <row r="97" ht="20.05" customHeight="1" x14ac:dyDescent="0.3"/>
    <row r="98" ht="20.05" customHeight="1" x14ac:dyDescent="0.3"/>
    <row r="99" ht="20.05" customHeight="1" x14ac:dyDescent="0.3"/>
    <row r="100" ht="20.05" customHeight="1" x14ac:dyDescent="0.3"/>
    <row r="101" ht="20.05" customHeight="1" x14ac:dyDescent="0.3"/>
    <row r="102" ht="20.05" customHeight="1" x14ac:dyDescent="0.3"/>
    <row r="103" ht="20.05" customHeight="1" x14ac:dyDescent="0.3"/>
    <row r="104" ht="20.05" customHeight="1" x14ac:dyDescent="0.3"/>
    <row r="105" ht="20.05" customHeight="1" x14ac:dyDescent="0.3"/>
    <row r="106" ht="20.05" customHeight="1" x14ac:dyDescent="0.3"/>
    <row r="107" ht="20.05" customHeight="1" x14ac:dyDescent="0.3"/>
    <row r="108" ht="20.05" customHeight="1" x14ac:dyDescent="0.3"/>
    <row r="109" ht="20.05" customHeight="1" x14ac:dyDescent="0.3"/>
    <row r="110" ht="20.05" customHeight="1" x14ac:dyDescent="0.3"/>
    <row r="111" ht="20.05" customHeight="1" x14ac:dyDescent="0.3"/>
    <row r="112" ht="20.05" customHeight="1" x14ac:dyDescent="0.3"/>
    <row r="113" ht="20.05" customHeight="1" x14ac:dyDescent="0.3"/>
    <row r="114" ht="20.05" customHeight="1" x14ac:dyDescent="0.3"/>
    <row r="115" ht="20.05" customHeight="1" x14ac:dyDescent="0.3"/>
    <row r="116" ht="20.05" customHeight="1" x14ac:dyDescent="0.3"/>
    <row r="117" ht="20.05" customHeight="1" x14ac:dyDescent="0.3"/>
    <row r="118" ht="20.05" customHeight="1" x14ac:dyDescent="0.3"/>
    <row r="119" ht="20.05" customHeight="1" x14ac:dyDescent="0.3"/>
    <row r="120" ht="20.05" customHeight="1" x14ac:dyDescent="0.3"/>
    <row r="121" ht="20.05" customHeight="1" x14ac:dyDescent="0.3"/>
    <row r="122" ht="20.05" customHeight="1" x14ac:dyDescent="0.3"/>
    <row r="123" ht="20.05" customHeight="1" x14ac:dyDescent="0.3"/>
    <row r="124" ht="20.05" customHeight="1" x14ac:dyDescent="0.3"/>
    <row r="125" ht="20.05" customHeight="1" x14ac:dyDescent="0.3"/>
    <row r="126" ht="20.05" customHeight="1" x14ac:dyDescent="0.3"/>
    <row r="127" ht="20.05" customHeight="1" x14ac:dyDescent="0.3"/>
    <row r="128" ht="20.05" customHeight="1" x14ac:dyDescent="0.3"/>
    <row r="129" ht="20.05" customHeight="1" x14ac:dyDescent="0.3"/>
    <row r="130" ht="20.05" customHeight="1" x14ac:dyDescent="0.3"/>
    <row r="131" ht="20.05" customHeight="1" x14ac:dyDescent="0.3"/>
    <row r="132" ht="20.05" customHeight="1" x14ac:dyDescent="0.3"/>
    <row r="133" ht="20.05" customHeight="1" x14ac:dyDescent="0.3"/>
    <row r="134" ht="20.05" customHeight="1" x14ac:dyDescent="0.3"/>
    <row r="135" ht="20.05" customHeight="1" x14ac:dyDescent="0.3"/>
    <row r="136" ht="20.05" customHeight="1" x14ac:dyDescent="0.3"/>
    <row r="137" ht="20.05" customHeight="1" x14ac:dyDescent="0.3"/>
    <row r="138" ht="20.05" customHeight="1" x14ac:dyDescent="0.3"/>
    <row r="139" ht="20.05" customHeight="1" x14ac:dyDescent="0.3"/>
    <row r="140" ht="20.05" customHeight="1" x14ac:dyDescent="0.3"/>
    <row r="141" ht="20.05" customHeight="1" x14ac:dyDescent="0.3"/>
    <row r="142" ht="20.05" customHeight="1" x14ac:dyDescent="0.3"/>
    <row r="143" ht="20.05" customHeight="1" x14ac:dyDescent="0.3"/>
    <row r="144" ht="20.05" customHeight="1" x14ac:dyDescent="0.3"/>
    <row r="145" ht="20.05" customHeight="1" x14ac:dyDescent="0.3"/>
    <row r="146" ht="20.05" customHeight="1" x14ac:dyDescent="0.3"/>
    <row r="147" ht="20.05" customHeight="1" x14ac:dyDescent="0.3"/>
    <row r="148" ht="20.05" customHeight="1" x14ac:dyDescent="0.3"/>
    <row r="149" ht="20.05" customHeight="1" x14ac:dyDescent="0.3"/>
    <row r="150" ht="20.05" customHeight="1" x14ac:dyDescent="0.3"/>
    <row r="151" ht="20.05" customHeight="1" x14ac:dyDescent="0.3"/>
    <row r="152" ht="20.05" customHeight="1" x14ac:dyDescent="0.3"/>
    <row r="153" ht="20.05" customHeight="1" x14ac:dyDescent="0.3"/>
    <row r="154" ht="20.05" customHeight="1" x14ac:dyDescent="0.3"/>
    <row r="155" ht="20.05" customHeight="1" x14ac:dyDescent="0.3"/>
    <row r="156" ht="20.05" customHeight="1" x14ac:dyDescent="0.3"/>
    <row r="157" ht="20.05" customHeight="1" x14ac:dyDescent="0.3"/>
    <row r="158" ht="20.05" customHeight="1" x14ac:dyDescent="0.3"/>
    <row r="159" ht="20.05" customHeight="1" x14ac:dyDescent="0.3"/>
    <row r="160" ht="20.05" customHeight="1" x14ac:dyDescent="0.3"/>
    <row r="161" ht="20.05" customHeight="1" x14ac:dyDescent="0.3"/>
    <row r="162" ht="20.05" customHeight="1" x14ac:dyDescent="0.3"/>
    <row r="163" ht="20.05" customHeight="1" x14ac:dyDescent="0.3"/>
    <row r="164" ht="20.05" customHeight="1" x14ac:dyDescent="0.3"/>
    <row r="165" ht="20.05" customHeight="1" x14ac:dyDescent="0.3"/>
    <row r="166" ht="20.05" customHeight="1" x14ac:dyDescent="0.3"/>
    <row r="167" ht="20.05" customHeight="1" x14ac:dyDescent="0.3"/>
    <row r="168" ht="20.05" customHeight="1" x14ac:dyDescent="0.3"/>
    <row r="169" ht="20.05" customHeight="1" x14ac:dyDescent="0.3"/>
    <row r="170" ht="20.05" customHeight="1" x14ac:dyDescent="0.3"/>
    <row r="171" ht="20.05" customHeight="1" x14ac:dyDescent="0.3"/>
    <row r="172" ht="20.05" customHeight="1" x14ac:dyDescent="0.3"/>
    <row r="173" ht="20.05" customHeight="1" x14ac:dyDescent="0.3"/>
    <row r="174" ht="20.05" customHeight="1" x14ac:dyDescent="0.3"/>
    <row r="175" ht="20.05" customHeight="1" x14ac:dyDescent="0.3"/>
    <row r="176" ht="20.05" customHeight="1" x14ac:dyDescent="0.3"/>
    <row r="177" ht="20.05" customHeight="1" x14ac:dyDescent="0.3"/>
    <row r="178" ht="20.05" customHeight="1" x14ac:dyDescent="0.3"/>
    <row r="179" ht="20.05" customHeight="1" x14ac:dyDescent="0.3"/>
    <row r="180" ht="20.05" customHeight="1" x14ac:dyDescent="0.3"/>
    <row r="181" ht="20.05" customHeight="1" x14ac:dyDescent="0.3"/>
    <row r="182" ht="20.05" customHeight="1" x14ac:dyDescent="0.3"/>
    <row r="183" ht="20.05" customHeight="1" x14ac:dyDescent="0.3"/>
    <row r="184" ht="20.05" customHeight="1" x14ac:dyDescent="0.3"/>
    <row r="185" ht="20.05" customHeight="1" x14ac:dyDescent="0.3"/>
    <row r="186" ht="20.05" customHeight="1" x14ac:dyDescent="0.3"/>
    <row r="187" ht="20.05" customHeight="1" x14ac:dyDescent="0.3"/>
    <row r="188" ht="20.05" customHeight="1" x14ac:dyDescent="0.3"/>
    <row r="189" ht="20.05" customHeight="1" x14ac:dyDescent="0.3"/>
    <row r="190" ht="20.05" customHeight="1" x14ac:dyDescent="0.3"/>
    <row r="191" ht="20.05" customHeight="1" x14ac:dyDescent="0.3"/>
    <row r="192" ht="20.05" customHeight="1" x14ac:dyDescent="0.3"/>
    <row r="193" ht="20.05" customHeight="1" x14ac:dyDescent="0.3"/>
    <row r="194" ht="20.05" customHeight="1" x14ac:dyDescent="0.3"/>
    <row r="195" ht="20.05" customHeight="1" x14ac:dyDescent="0.3"/>
    <row r="196" ht="20.05" customHeight="1" x14ac:dyDescent="0.3"/>
    <row r="197" ht="20.05" customHeight="1" x14ac:dyDescent="0.3"/>
    <row r="198" ht="20.05" customHeight="1" x14ac:dyDescent="0.3"/>
    <row r="199" ht="20.05" customHeight="1" x14ac:dyDescent="0.3"/>
    <row r="200" ht="20.05" customHeight="1" x14ac:dyDescent="0.3"/>
    <row r="201" ht="20.05" customHeight="1" x14ac:dyDescent="0.3"/>
    <row r="202" ht="20.05" customHeight="1" x14ac:dyDescent="0.3"/>
    <row r="203" ht="20.05" customHeight="1" x14ac:dyDescent="0.3"/>
    <row r="204" ht="20.05" customHeight="1" x14ac:dyDescent="0.3"/>
    <row r="205" ht="20.05" customHeight="1" x14ac:dyDescent="0.3"/>
    <row r="206" ht="20.05" customHeight="1" x14ac:dyDescent="0.3"/>
    <row r="207" ht="20.05" customHeight="1" x14ac:dyDescent="0.3"/>
    <row r="208" ht="20.05" customHeight="1" x14ac:dyDescent="0.3"/>
    <row r="209" ht="20.05" customHeight="1" x14ac:dyDescent="0.3"/>
    <row r="210" ht="20.05" customHeight="1" x14ac:dyDescent="0.3"/>
    <row r="211" ht="20.05" customHeight="1" x14ac:dyDescent="0.3"/>
    <row r="212" ht="20.05" customHeight="1" x14ac:dyDescent="0.3"/>
    <row r="213" ht="20.05" customHeight="1" x14ac:dyDescent="0.3"/>
    <row r="214" ht="20.05" customHeight="1" x14ac:dyDescent="0.3"/>
    <row r="215" ht="20.05" customHeight="1" x14ac:dyDescent="0.3"/>
    <row r="216" ht="20.05" customHeight="1" x14ac:dyDescent="0.3"/>
    <row r="217" ht="20.05" customHeight="1" x14ac:dyDescent="0.3"/>
    <row r="218" ht="20.05" customHeight="1" x14ac:dyDescent="0.3"/>
    <row r="219" ht="20.05" customHeight="1" x14ac:dyDescent="0.3"/>
    <row r="220" ht="20.05" customHeight="1" x14ac:dyDescent="0.3"/>
    <row r="221" ht="20.05" customHeight="1" x14ac:dyDescent="0.3"/>
    <row r="222" ht="20.05" customHeight="1" x14ac:dyDescent="0.3"/>
    <row r="223" ht="20.05" customHeight="1" x14ac:dyDescent="0.3"/>
    <row r="224" ht="20.05" customHeight="1" x14ac:dyDescent="0.3"/>
    <row r="225" ht="20.05" customHeight="1" x14ac:dyDescent="0.3"/>
    <row r="226" ht="20.05" customHeight="1" x14ac:dyDescent="0.3"/>
    <row r="227" ht="20.05" customHeight="1" x14ac:dyDescent="0.3"/>
    <row r="228" ht="20.05" customHeight="1" x14ac:dyDescent="0.3"/>
    <row r="229" ht="20.05" customHeight="1" x14ac:dyDescent="0.3"/>
    <row r="230" ht="20.05" customHeight="1" x14ac:dyDescent="0.3"/>
    <row r="231" ht="20.05" customHeight="1" x14ac:dyDescent="0.3"/>
    <row r="232" ht="20.05" customHeight="1" x14ac:dyDescent="0.3"/>
    <row r="233" ht="20.05" customHeight="1" x14ac:dyDescent="0.3"/>
    <row r="234" ht="20.05" customHeight="1" x14ac:dyDescent="0.3"/>
    <row r="235" ht="20.05" customHeight="1" x14ac:dyDescent="0.3"/>
    <row r="236" ht="20.05" customHeight="1" x14ac:dyDescent="0.3"/>
    <row r="237" ht="20.05" customHeight="1" x14ac:dyDescent="0.3"/>
    <row r="238" ht="20.05" customHeight="1" x14ac:dyDescent="0.3"/>
    <row r="239" ht="20.05" customHeight="1" x14ac:dyDescent="0.3"/>
    <row r="240" ht="20.05" customHeight="1" x14ac:dyDescent="0.3"/>
    <row r="241" ht="20.05" customHeight="1" x14ac:dyDescent="0.3"/>
    <row r="242" ht="20.05" customHeight="1" x14ac:dyDescent="0.3"/>
    <row r="243" ht="20.05" customHeight="1" x14ac:dyDescent="0.3"/>
    <row r="244" ht="20.05" customHeight="1" x14ac:dyDescent="0.3"/>
    <row r="245" ht="20.05" customHeight="1" x14ac:dyDescent="0.3"/>
    <row r="246" ht="20.05" customHeight="1" x14ac:dyDescent="0.3"/>
    <row r="247" ht="20.05" customHeight="1" x14ac:dyDescent="0.3"/>
    <row r="248" ht="20.05" customHeight="1" x14ac:dyDescent="0.3"/>
    <row r="249" ht="20.05" customHeight="1" x14ac:dyDescent="0.3"/>
    <row r="250" ht="20.05" customHeight="1" x14ac:dyDescent="0.3"/>
    <row r="251" ht="20.05" customHeight="1" x14ac:dyDescent="0.3"/>
    <row r="252" ht="20.05" customHeight="1" x14ac:dyDescent="0.3"/>
    <row r="253" ht="20.05" customHeight="1" x14ac:dyDescent="0.3"/>
    <row r="254" ht="20.05" customHeight="1" x14ac:dyDescent="0.3"/>
    <row r="255" ht="20.05" customHeight="1" x14ac:dyDescent="0.3"/>
    <row r="256" ht="20.05" customHeight="1" x14ac:dyDescent="0.3"/>
    <row r="257" ht="20.05" customHeight="1" x14ac:dyDescent="0.3"/>
    <row r="258" ht="20.05" customHeight="1" x14ac:dyDescent="0.3"/>
    <row r="259" ht="20.05" customHeight="1" x14ac:dyDescent="0.3"/>
    <row r="260" ht="20.05" customHeight="1" x14ac:dyDescent="0.3"/>
    <row r="261" ht="20.05" customHeight="1" x14ac:dyDescent="0.3"/>
    <row r="262" ht="20.05" customHeight="1" x14ac:dyDescent="0.3"/>
    <row r="263" ht="20.05" customHeight="1" x14ac:dyDescent="0.3"/>
    <row r="264" ht="20.05" customHeight="1" x14ac:dyDescent="0.3"/>
    <row r="265" ht="20.05" customHeight="1" x14ac:dyDescent="0.3"/>
    <row r="266" ht="20.05" customHeight="1" x14ac:dyDescent="0.3"/>
    <row r="267" ht="20.05" customHeight="1" x14ac:dyDescent="0.3"/>
    <row r="268" ht="20.05" customHeight="1" x14ac:dyDescent="0.3"/>
    <row r="269" ht="20.05" customHeight="1" x14ac:dyDescent="0.3"/>
    <row r="270" ht="20.05" customHeight="1" x14ac:dyDescent="0.3"/>
    <row r="271" ht="20.05" customHeight="1" x14ac:dyDescent="0.3"/>
    <row r="272" ht="20.05" customHeight="1" x14ac:dyDescent="0.3"/>
    <row r="273" ht="20.05" customHeight="1" x14ac:dyDescent="0.3"/>
    <row r="274" ht="20.05" customHeight="1" x14ac:dyDescent="0.3"/>
    <row r="275" ht="20.05" customHeight="1" x14ac:dyDescent="0.3"/>
    <row r="276" ht="20.05" customHeight="1" x14ac:dyDescent="0.3"/>
    <row r="277" ht="20.05" customHeight="1" x14ac:dyDescent="0.3"/>
    <row r="278" ht="20.05" customHeight="1" x14ac:dyDescent="0.3"/>
    <row r="279" ht="20.05" customHeight="1" x14ac:dyDescent="0.3"/>
    <row r="280" ht="20.05" customHeight="1" x14ac:dyDescent="0.3"/>
    <row r="281" ht="20.05" customHeight="1" x14ac:dyDescent="0.3"/>
    <row r="282" ht="20.05" customHeight="1" x14ac:dyDescent="0.3"/>
    <row r="283" ht="20.05" customHeight="1" x14ac:dyDescent="0.3"/>
    <row r="284" ht="20.05" customHeight="1" x14ac:dyDescent="0.3"/>
    <row r="285" ht="20.05" customHeight="1" x14ac:dyDescent="0.3"/>
    <row r="286" ht="20.05" customHeight="1" x14ac:dyDescent="0.3"/>
    <row r="287" ht="20.05" customHeight="1" x14ac:dyDescent="0.3"/>
    <row r="288" ht="20.05" customHeight="1" x14ac:dyDescent="0.3"/>
    <row r="289" ht="20.05" customHeight="1" x14ac:dyDescent="0.3"/>
    <row r="290" ht="20.05" customHeight="1" x14ac:dyDescent="0.3"/>
    <row r="291" ht="20.05" customHeight="1" x14ac:dyDescent="0.3"/>
    <row r="292" ht="20.05" customHeight="1" x14ac:dyDescent="0.3"/>
    <row r="293" ht="20.05" customHeight="1" x14ac:dyDescent="0.3"/>
    <row r="294" ht="20.05" customHeight="1" x14ac:dyDescent="0.3"/>
    <row r="295" ht="20.05" customHeight="1" x14ac:dyDescent="0.3"/>
    <row r="296" ht="20.05" customHeight="1" x14ac:dyDescent="0.3"/>
    <row r="297" ht="20.05" customHeight="1" x14ac:dyDescent="0.3"/>
    <row r="298" ht="20.05" customHeight="1" x14ac:dyDescent="0.3"/>
    <row r="299" ht="20.05" customHeight="1" x14ac:dyDescent="0.3"/>
    <row r="300" ht="20.05" customHeight="1" x14ac:dyDescent="0.3"/>
    <row r="301" ht="20.05" customHeight="1" x14ac:dyDescent="0.3"/>
    <row r="302" ht="20.05" customHeight="1" x14ac:dyDescent="0.3"/>
    <row r="303" ht="20.05" customHeight="1" x14ac:dyDescent="0.3"/>
    <row r="304" ht="20.05" customHeight="1" x14ac:dyDescent="0.3"/>
    <row r="305" ht="20.05" customHeight="1" x14ac:dyDescent="0.3"/>
    <row r="306" ht="20.05" customHeight="1" x14ac:dyDescent="0.3"/>
    <row r="307" ht="20.05" customHeight="1" x14ac:dyDescent="0.3"/>
    <row r="308" ht="20.05" customHeight="1" x14ac:dyDescent="0.3"/>
    <row r="309" ht="20.05" customHeight="1" x14ac:dyDescent="0.3"/>
    <row r="310" ht="20.05" customHeight="1" x14ac:dyDescent="0.3"/>
    <row r="311" ht="20.05" customHeight="1" x14ac:dyDescent="0.3"/>
    <row r="312" ht="20.05" customHeight="1" x14ac:dyDescent="0.3"/>
    <row r="313" ht="20.05" customHeight="1" x14ac:dyDescent="0.3"/>
    <row r="314" ht="20.05" customHeight="1" x14ac:dyDescent="0.3"/>
    <row r="315" ht="20.05" customHeight="1" x14ac:dyDescent="0.3"/>
    <row r="316" ht="20.05" customHeight="1" x14ac:dyDescent="0.3"/>
    <row r="317" ht="20.05" customHeight="1" x14ac:dyDescent="0.3"/>
    <row r="318" ht="20.05" customHeight="1" x14ac:dyDescent="0.3"/>
    <row r="319" ht="20.05" customHeight="1" x14ac:dyDescent="0.3"/>
    <row r="320" ht="20.05" customHeight="1" x14ac:dyDescent="0.3"/>
    <row r="321" ht="20.05" customHeight="1" x14ac:dyDescent="0.3"/>
    <row r="322" ht="20.05" customHeight="1" x14ac:dyDescent="0.3"/>
    <row r="323" ht="20.05" customHeight="1" x14ac:dyDescent="0.3"/>
    <row r="324" ht="20.05" customHeight="1" x14ac:dyDescent="0.3"/>
    <row r="325" ht="20.05" customHeight="1" x14ac:dyDescent="0.3"/>
    <row r="326" ht="20.05" customHeight="1" x14ac:dyDescent="0.3"/>
    <row r="327" ht="20.05" customHeight="1" x14ac:dyDescent="0.3"/>
    <row r="328" ht="20.05" customHeight="1" x14ac:dyDescent="0.3"/>
    <row r="329" ht="20.05" customHeight="1" x14ac:dyDescent="0.3"/>
    <row r="330" ht="20.05" customHeight="1" x14ac:dyDescent="0.3"/>
    <row r="331" ht="20.05" customHeight="1" x14ac:dyDescent="0.3"/>
    <row r="332" ht="20.05" customHeight="1" x14ac:dyDescent="0.3"/>
    <row r="333" ht="20.05" customHeight="1" x14ac:dyDescent="0.3"/>
    <row r="334" ht="20.05" customHeight="1" x14ac:dyDescent="0.3"/>
    <row r="335" ht="20.05" customHeight="1" x14ac:dyDescent="0.3"/>
    <row r="336" ht="20.05" customHeight="1" x14ac:dyDescent="0.3"/>
    <row r="337" ht="20.05" customHeight="1" x14ac:dyDescent="0.3"/>
    <row r="338" ht="20.05" customHeight="1" x14ac:dyDescent="0.3"/>
    <row r="339" ht="20.05" customHeight="1" x14ac:dyDescent="0.3"/>
    <row r="340" ht="20.05" customHeight="1" x14ac:dyDescent="0.3"/>
    <row r="341" ht="20.05" customHeight="1" x14ac:dyDescent="0.3"/>
    <row r="342" ht="20.05" customHeight="1" x14ac:dyDescent="0.3"/>
    <row r="343" ht="20.05" customHeight="1" x14ac:dyDescent="0.3"/>
    <row r="344" ht="20.05" customHeight="1" x14ac:dyDescent="0.3"/>
    <row r="345" ht="20.05" customHeight="1" x14ac:dyDescent="0.3"/>
    <row r="346" ht="20.05" customHeight="1" x14ac:dyDescent="0.3"/>
    <row r="347" ht="20.05" customHeight="1" x14ac:dyDescent="0.3"/>
    <row r="348" ht="20.05" customHeight="1" x14ac:dyDescent="0.3"/>
    <row r="349" ht="20.05" customHeight="1" x14ac:dyDescent="0.3"/>
    <row r="350" ht="20.05" customHeight="1" x14ac:dyDescent="0.3"/>
    <row r="351" ht="20.05" customHeight="1" x14ac:dyDescent="0.3"/>
    <row r="352" ht="20.05" customHeight="1" x14ac:dyDescent="0.3"/>
    <row r="353" ht="20.05" customHeight="1" x14ac:dyDescent="0.3"/>
    <row r="354" ht="20.05" customHeight="1" x14ac:dyDescent="0.3"/>
    <row r="355" ht="20.05" customHeight="1" x14ac:dyDescent="0.3"/>
    <row r="356" ht="20.05" customHeight="1" x14ac:dyDescent="0.3"/>
    <row r="357" ht="20.05" customHeight="1" x14ac:dyDescent="0.3"/>
    <row r="358" ht="20.05" customHeight="1" x14ac:dyDescent="0.3"/>
    <row r="359" ht="20.05" customHeight="1" x14ac:dyDescent="0.3"/>
    <row r="360" ht="20.05" customHeight="1" x14ac:dyDescent="0.3"/>
    <row r="361" ht="20.05" customHeight="1" x14ac:dyDescent="0.3"/>
    <row r="362" ht="20.05" customHeight="1" x14ac:dyDescent="0.3"/>
    <row r="363" ht="20.05" customHeight="1" x14ac:dyDescent="0.3"/>
    <row r="364" ht="20.05" customHeight="1" x14ac:dyDescent="0.3"/>
    <row r="365" ht="20.05" customHeight="1" x14ac:dyDescent="0.3"/>
    <row r="366" ht="20.05" customHeight="1" x14ac:dyDescent="0.3"/>
    <row r="367" ht="20.05" customHeight="1" x14ac:dyDescent="0.3"/>
    <row r="368" ht="20.05" customHeight="1" x14ac:dyDescent="0.3"/>
    <row r="369" ht="20.05" customHeight="1" x14ac:dyDescent="0.3"/>
    <row r="370" ht="20.05" customHeight="1" x14ac:dyDescent="0.3"/>
    <row r="371" ht="20.05" customHeight="1" x14ac:dyDescent="0.3"/>
    <row r="372" ht="20.05" customHeight="1" x14ac:dyDescent="0.3"/>
    <row r="373" ht="20.05" customHeight="1" x14ac:dyDescent="0.3"/>
    <row r="374" ht="20.05" customHeight="1" x14ac:dyDescent="0.3"/>
    <row r="375" ht="20.05" customHeight="1" x14ac:dyDescent="0.3"/>
    <row r="376" ht="20.05" customHeight="1" x14ac:dyDescent="0.3"/>
    <row r="377" ht="20.05" customHeight="1" x14ac:dyDescent="0.3"/>
    <row r="378" ht="20.05" customHeight="1" x14ac:dyDescent="0.3"/>
    <row r="379" ht="20.05" customHeight="1" x14ac:dyDescent="0.3"/>
    <row r="380" ht="20.05" customHeight="1" x14ac:dyDescent="0.3"/>
    <row r="381" ht="20.05" customHeight="1" x14ac:dyDescent="0.3"/>
    <row r="382" ht="20.05" customHeight="1" x14ac:dyDescent="0.3"/>
    <row r="383" ht="20.05" customHeight="1" x14ac:dyDescent="0.3"/>
    <row r="384" ht="20.05" customHeight="1" x14ac:dyDescent="0.3"/>
    <row r="385" ht="20.05" customHeight="1" x14ac:dyDescent="0.3"/>
    <row r="386" ht="20.05" customHeight="1" x14ac:dyDescent="0.3"/>
    <row r="387" ht="20.05" customHeight="1" x14ac:dyDescent="0.3"/>
    <row r="388" ht="20.05" customHeight="1" x14ac:dyDescent="0.3"/>
    <row r="389" ht="20.05" customHeight="1" x14ac:dyDescent="0.3"/>
    <row r="390" ht="20.05" customHeight="1" x14ac:dyDescent="0.3"/>
    <row r="391" ht="20.05" customHeight="1" x14ac:dyDescent="0.3"/>
    <row r="392" ht="20.05" customHeight="1" x14ac:dyDescent="0.3"/>
    <row r="393" ht="20.05" customHeight="1" x14ac:dyDescent="0.3"/>
    <row r="394" ht="20.05" customHeight="1" x14ac:dyDescent="0.3"/>
    <row r="395" ht="20.05" customHeight="1" x14ac:dyDescent="0.3"/>
    <row r="396" ht="20.05" customHeight="1" x14ac:dyDescent="0.3"/>
    <row r="397" ht="20.05" customHeight="1" x14ac:dyDescent="0.3"/>
    <row r="398" ht="20.05" customHeight="1" x14ac:dyDescent="0.3"/>
    <row r="399" ht="20.05" customHeight="1" x14ac:dyDescent="0.3"/>
    <row r="400" ht="20.05" customHeight="1" x14ac:dyDescent="0.3"/>
    <row r="401" ht="20.05" customHeight="1" x14ac:dyDescent="0.3"/>
    <row r="402" ht="20.05" customHeight="1" x14ac:dyDescent="0.3"/>
    <row r="403" ht="20.05" customHeight="1" x14ac:dyDescent="0.3"/>
    <row r="404" ht="20.05" customHeight="1" x14ac:dyDescent="0.3"/>
    <row r="405" ht="20.05" customHeight="1" x14ac:dyDescent="0.3"/>
    <row r="406" ht="20.05" customHeight="1" x14ac:dyDescent="0.3"/>
    <row r="407" ht="20.05" customHeight="1" x14ac:dyDescent="0.3"/>
    <row r="408" ht="20.05" customHeight="1" x14ac:dyDescent="0.3"/>
    <row r="409" ht="20.05" customHeight="1" x14ac:dyDescent="0.3"/>
    <row r="410" ht="20.05" customHeight="1" x14ac:dyDescent="0.3"/>
    <row r="411" ht="20.05" customHeight="1" x14ac:dyDescent="0.3"/>
    <row r="412" ht="20.05" customHeight="1" x14ac:dyDescent="0.3"/>
    <row r="413" ht="20.05" customHeight="1" x14ac:dyDescent="0.3"/>
    <row r="414" ht="20.05" customHeight="1" x14ac:dyDescent="0.3"/>
    <row r="415" ht="20.05" customHeight="1" x14ac:dyDescent="0.3"/>
    <row r="416" ht="20.05" customHeight="1" x14ac:dyDescent="0.3"/>
    <row r="417" ht="20.05" customHeight="1" x14ac:dyDescent="0.3"/>
    <row r="418" ht="20.05" customHeight="1" x14ac:dyDescent="0.3"/>
    <row r="419" ht="20.05" customHeight="1" x14ac:dyDescent="0.3"/>
    <row r="420" ht="20.05" customHeight="1" x14ac:dyDescent="0.3"/>
    <row r="421" ht="20.05" customHeight="1" x14ac:dyDescent="0.3"/>
    <row r="422" ht="20.05" customHeight="1" x14ac:dyDescent="0.3"/>
    <row r="423" ht="20.05" customHeight="1" x14ac:dyDescent="0.3"/>
    <row r="424" ht="20.05" customHeight="1" x14ac:dyDescent="0.3"/>
    <row r="425" ht="20.05" customHeight="1" x14ac:dyDescent="0.3"/>
    <row r="426" ht="20.05" customHeight="1" x14ac:dyDescent="0.3"/>
    <row r="427" ht="20.05" customHeight="1" x14ac:dyDescent="0.3"/>
    <row r="428" ht="20.05" customHeight="1" x14ac:dyDescent="0.3"/>
    <row r="429" ht="20.05" customHeight="1" x14ac:dyDescent="0.3"/>
    <row r="430" ht="20.05" customHeight="1" x14ac:dyDescent="0.3"/>
    <row r="431" ht="20.05" customHeight="1" x14ac:dyDescent="0.3"/>
    <row r="432" ht="20.05" customHeight="1" x14ac:dyDescent="0.3"/>
    <row r="433" ht="20.05" customHeight="1" x14ac:dyDescent="0.3"/>
    <row r="434" ht="20.05" customHeight="1" x14ac:dyDescent="0.3"/>
    <row r="435" ht="20.05" customHeight="1" x14ac:dyDescent="0.3"/>
    <row r="436" ht="20.05" customHeight="1" x14ac:dyDescent="0.3"/>
    <row r="437" ht="20.05" customHeight="1" x14ac:dyDescent="0.3"/>
    <row r="438" ht="20.05" customHeight="1" x14ac:dyDescent="0.3"/>
    <row r="439" ht="20.05" customHeight="1" x14ac:dyDescent="0.3"/>
    <row r="440" ht="20.05" customHeight="1" x14ac:dyDescent="0.3"/>
    <row r="441" ht="20.05" customHeight="1" x14ac:dyDescent="0.3"/>
    <row r="442" ht="20.05" customHeight="1" x14ac:dyDescent="0.3"/>
    <row r="443" ht="20.05" customHeight="1" x14ac:dyDescent="0.3"/>
    <row r="444" ht="20.05" customHeight="1" x14ac:dyDescent="0.3"/>
    <row r="445" ht="20.05" customHeight="1" x14ac:dyDescent="0.3"/>
    <row r="446" ht="20.05" customHeight="1" x14ac:dyDescent="0.3"/>
    <row r="447" ht="20.05" customHeight="1" x14ac:dyDescent="0.3"/>
    <row r="448" ht="20.05" customHeight="1" x14ac:dyDescent="0.3"/>
    <row r="449" ht="20.05" customHeight="1" x14ac:dyDescent="0.3"/>
    <row r="450" ht="20.05" customHeight="1" x14ac:dyDescent="0.3"/>
    <row r="451" ht="20.05" customHeight="1" x14ac:dyDescent="0.3"/>
    <row r="452" ht="20.05" customHeight="1" x14ac:dyDescent="0.3"/>
    <row r="453" ht="20.05" customHeight="1" x14ac:dyDescent="0.3"/>
    <row r="454" ht="20.05" customHeight="1" x14ac:dyDescent="0.3"/>
    <row r="455" ht="20.05" customHeight="1" x14ac:dyDescent="0.3"/>
    <row r="456" ht="20.05" customHeight="1" x14ac:dyDescent="0.3"/>
    <row r="457" ht="20.05" customHeight="1" x14ac:dyDescent="0.3"/>
    <row r="458" ht="20.05" customHeight="1" x14ac:dyDescent="0.3"/>
    <row r="459" ht="20.05" customHeight="1" x14ac:dyDescent="0.3"/>
    <row r="460" ht="20.05" customHeight="1" x14ac:dyDescent="0.3"/>
    <row r="461" ht="20.05" customHeight="1" x14ac:dyDescent="0.3"/>
    <row r="462" ht="20.05" customHeight="1" x14ac:dyDescent="0.3"/>
    <row r="463" ht="20.05" customHeight="1" x14ac:dyDescent="0.3"/>
    <row r="464" ht="20.05" customHeight="1" x14ac:dyDescent="0.3"/>
    <row r="465" ht="20.05" customHeight="1" x14ac:dyDescent="0.3"/>
    <row r="466" ht="20.05" customHeight="1" x14ac:dyDescent="0.3"/>
    <row r="467" ht="20.05" customHeight="1" x14ac:dyDescent="0.3"/>
    <row r="468" ht="20.05" customHeight="1" x14ac:dyDescent="0.3"/>
    <row r="469" ht="20.05" customHeight="1" x14ac:dyDescent="0.3"/>
    <row r="470" ht="20.05" customHeight="1" x14ac:dyDescent="0.3"/>
    <row r="471" ht="20.05" customHeight="1" x14ac:dyDescent="0.3"/>
    <row r="472" ht="20.05" customHeight="1" x14ac:dyDescent="0.3"/>
    <row r="473" ht="20.05" customHeight="1" x14ac:dyDescent="0.3"/>
    <row r="474" ht="20.05" customHeight="1" x14ac:dyDescent="0.3"/>
    <row r="475" ht="20.05" customHeight="1" x14ac:dyDescent="0.3"/>
    <row r="476" ht="20.05" customHeight="1" x14ac:dyDescent="0.3"/>
    <row r="477" ht="20.05" customHeight="1" x14ac:dyDescent="0.3"/>
    <row r="478" ht="20.05" customHeight="1" x14ac:dyDescent="0.3"/>
    <row r="479" ht="20.05" customHeight="1" x14ac:dyDescent="0.3"/>
    <row r="480" ht="20.05" customHeight="1" x14ac:dyDescent="0.3"/>
    <row r="481" ht="20.05" customHeight="1" x14ac:dyDescent="0.3"/>
    <row r="482" ht="20.05" customHeight="1" x14ac:dyDescent="0.3"/>
    <row r="483" ht="20.05" customHeight="1" x14ac:dyDescent="0.3"/>
    <row r="484" ht="20.05" customHeight="1" x14ac:dyDescent="0.3"/>
    <row r="485" ht="20.05" customHeight="1" x14ac:dyDescent="0.3"/>
    <row r="486" ht="20.05" customHeight="1" x14ac:dyDescent="0.3"/>
    <row r="487" ht="20.05" customHeight="1" x14ac:dyDescent="0.3"/>
    <row r="488" ht="20.05" customHeight="1" x14ac:dyDescent="0.3"/>
    <row r="489" ht="20.05" customHeight="1" x14ac:dyDescent="0.3"/>
    <row r="490" ht="20.05" customHeight="1" x14ac:dyDescent="0.3"/>
    <row r="491" ht="20.05" customHeight="1" x14ac:dyDescent="0.3"/>
    <row r="492" ht="20.05" customHeight="1" x14ac:dyDescent="0.3"/>
    <row r="493" ht="20.05" customHeight="1" x14ac:dyDescent="0.3"/>
    <row r="494" ht="20.05" customHeight="1" x14ac:dyDescent="0.3"/>
    <row r="495" ht="20.05" customHeight="1" x14ac:dyDescent="0.3"/>
    <row r="496" ht="20.05" customHeight="1" x14ac:dyDescent="0.3"/>
    <row r="497" ht="20.05" customHeight="1" x14ac:dyDescent="0.3"/>
    <row r="498" ht="20.05" customHeight="1" x14ac:dyDescent="0.3"/>
    <row r="499" ht="20.05" customHeight="1" x14ac:dyDescent="0.3"/>
    <row r="500" ht="20.05" customHeight="1" x14ac:dyDescent="0.3"/>
    <row r="501" ht="20.05" customHeight="1" x14ac:dyDescent="0.3"/>
    <row r="502" ht="20.05" customHeight="1" x14ac:dyDescent="0.3"/>
    <row r="503" ht="20.05" customHeight="1" x14ac:dyDescent="0.3"/>
    <row r="504" ht="20.05" customHeight="1" x14ac:dyDescent="0.3"/>
    <row r="505" ht="20.05" customHeight="1" x14ac:dyDescent="0.3"/>
    <row r="506" ht="20.05" customHeight="1" x14ac:dyDescent="0.3"/>
    <row r="507" ht="20.05" customHeight="1" x14ac:dyDescent="0.3"/>
    <row r="508" ht="20.05" customHeight="1" x14ac:dyDescent="0.3"/>
    <row r="509" ht="20.05" customHeight="1" x14ac:dyDescent="0.3"/>
    <row r="510" ht="20.05" customHeight="1" x14ac:dyDescent="0.3"/>
    <row r="511" ht="20.05" customHeight="1" x14ac:dyDescent="0.3"/>
    <row r="512" ht="20.05" customHeight="1" x14ac:dyDescent="0.3"/>
    <row r="513" ht="20.05" customHeight="1" x14ac:dyDescent="0.3"/>
    <row r="514" ht="20.05" customHeight="1" x14ac:dyDescent="0.3"/>
    <row r="515" ht="20.05" customHeight="1" x14ac:dyDescent="0.3"/>
    <row r="516" ht="20.05" customHeight="1" x14ac:dyDescent="0.3"/>
    <row r="517" ht="20.05" customHeight="1" x14ac:dyDescent="0.3"/>
    <row r="518" ht="20.05" customHeight="1" x14ac:dyDescent="0.3"/>
    <row r="519" ht="20.05" customHeight="1" x14ac:dyDescent="0.3"/>
    <row r="520" ht="20.05" customHeight="1" x14ac:dyDescent="0.3"/>
    <row r="521" ht="20.05" customHeight="1" x14ac:dyDescent="0.3"/>
    <row r="522" ht="20.05" customHeight="1" x14ac:dyDescent="0.3"/>
    <row r="523" ht="20.05" customHeight="1" x14ac:dyDescent="0.3"/>
    <row r="524" ht="20.05" customHeight="1" x14ac:dyDescent="0.3"/>
    <row r="525" ht="20.05" customHeight="1" x14ac:dyDescent="0.3"/>
    <row r="526" ht="20.05" customHeight="1" x14ac:dyDescent="0.3"/>
    <row r="527" ht="20.05" customHeight="1" x14ac:dyDescent="0.3"/>
    <row r="528" ht="20.05" customHeight="1" x14ac:dyDescent="0.3"/>
    <row r="529" ht="20.05" customHeight="1" x14ac:dyDescent="0.3"/>
    <row r="530" ht="20.05" customHeight="1" x14ac:dyDescent="0.3"/>
    <row r="531" ht="20.05" customHeight="1" x14ac:dyDescent="0.3"/>
    <row r="532" ht="20.05" customHeight="1" x14ac:dyDescent="0.3"/>
    <row r="533" ht="20.05" customHeight="1" x14ac:dyDescent="0.3"/>
    <row r="534" ht="20.05" customHeight="1" x14ac:dyDescent="0.3"/>
    <row r="535" ht="20.05" customHeight="1" x14ac:dyDescent="0.3"/>
    <row r="536" ht="20.05" customHeight="1" x14ac:dyDescent="0.3"/>
    <row r="537" ht="20.05" customHeight="1" x14ac:dyDescent="0.3"/>
    <row r="538" ht="20.05" customHeight="1" x14ac:dyDescent="0.3"/>
    <row r="539" ht="20.05" customHeight="1" x14ac:dyDescent="0.3"/>
    <row r="540" ht="20.05" customHeight="1" x14ac:dyDescent="0.3"/>
    <row r="541" ht="20.05" customHeight="1" x14ac:dyDescent="0.3"/>
    <row r="542" ht="20.05" customHeight="1" x14ac:dyDescent="0.3"/>
    <row r="543" ht="20.05" customHeight="1" x14ac:dyDescent="0.3"/>
    <row r="544" ht="20.05" customHeight="1" x14ac:dyDescent="0.3"/>
    <row r="545" ht="20.05" customHeight="1" x14ac:dyDescent="0.3"/>
    <row r="546" ht="20.05" customHeight="1" x14ac:dyDescent="0.3"/>
    <row r="547" ht="20.05" customHeight="1" x14ac:dyDescent="0.3"/>
    <row r="548" ht="20.05" customHeight="1" x14ac:dyDescent="0.3"/>
    <row r="549" ht="20.05" customHeight="1" x14ac:dyDescent="0.3"/>
    <row r="550" ht="20.05" customHeight="1" x14ac:dyDescent="0.3"/>
    <row r="551" ht="20.05" customHeight="1" x14ac:dyDescent="0.3"/>
    <row r="552" ht="20.05" customHeight="1" x14ac:dyDescent="0.3"/>
    <row r="553" ht="20.05" customHeight="1" x14ac:dyDescent="0.3"/>
    <row r="554" ht="20.05" customHeight="1" x14ac:dyDescent="0.3"/>
    <row r="555" ht="20.05" customHeight="1" x14ac:dyDescent="0.3"/>
    <row r="556" ht="20.05" customHeight="1" x14ac:dyDescent="0.3"/>
    <row r="557" ht="20.05" customHeight="1" x14ac:dyDescent="0.3"/>
    <row r="558" ht="20.05" customHeight="1" x14ac:dyDescent="0.3"/>
    <row r="559" ht="20.05" customHeight="1" x14ac:dyDescent="0.3"/>
    <row r="560" ht="20.05" customHeight="1" x14ac:dyDescent="0.3"/>
    <row r="561" ht="20.05" customHeight="1" x14ac:dyDescent="0.3"/>
    <row r="562" ht="20.05" customHeight="1" x14ac:dyDescent="0.3"/>
    <row r="563" ht="20.05" customHeight="1" x14ac:dyDescent="0.3"/>
    <row r="564" ht="20.05" customHeight="1" x14ac:dyDescent="0.3"/>
    <row r="565" ht="20.05" customHeight="1" x14ac:dyDescent="0.3"/>
    <row r="566" ht="20.05" customHeight="1" x14ac:dyDescent="0.3"/>
    <row r="567" ht="20.05" customHeight="1" x14ac:dyDescent="0.3"/>
    <row r="568" ht="20.05" customHeight="1" x14ac:dyDescent="0.3"/>
    <row r="569" ht="20.05" customHeight="1" x14ac:dyDescent="0.3"/>
    <row r="570" ht="20.05" customHeight="1" x14ac:dyDescent="0.3"/>
    <row r="571" ht="20.05" customHeight="1" x14ac:dyDescent="0.3"/>
    <row r="572" ht="20.05" customHeight="1" x14ac:dyDescent="0.3"/>
    <row r="573" ht="20.05" customHeight="1" x14ac:dyDescent="0.3"/>
    <row r="574" ht="20.05" customHeight="1" x14ac:dyDescent="0.3"/>
    <row r="575" ht="20.05" customHeight="1" x14ac:dyDescent="0.3"/>
    <row r="576" ht="20.05" customHeight="1" x14ac:dyDescent="0.3"/>
    <row r="577" ht="20.05" customHeight="1" x14ac:dyDescent="0.3"/>
    <row r="578" ht="20.05" customHeight="1" x14ac:dyDescent="0.3"/>
    <row r="579" ht="20.05" customHeight="1" x14ac:dyDescent="0.3"/>
    <row r="580" ht="20.05" customHeight="1" x14ac:dyDescent="0.3"/>
    <row r="581" ht="20.05" customHeight="1" x14ac:dyDescent="0.3"/>
    <row r="582" ht="20.05" customHeight="1" x14ac:dyDescent="0.3"/>
    <row r="583" ht="20.05" customHeight="1" x14ac:dyDescent="0.3"/>
    <row r="584" ht="20.05" customHeight="1" x14ac:dyDescent="0.3"/>
    <row r="585" ht="20.05" customHeight="1" x14ac:dyDescent="0.3"/>
    <row r="586" ht="20.05" customHeight="1" x14ac:dyDescent="0.3"/>
    <row r="587" ht="20.05" customHeight="1" x14ac:dyDescent="0.3"/>
    <row r="588" ht="20.05" customHeight="1" x14ac:dyDescent="0.3"/>
    <row r="589" ht="20.05" customHeight="1" x14ac:dyDescent="0.3"/>
    <row r="590" ht="20.05" customHeight="1" x14ac:dyDescent="0.3"/>
    <row r="591" ht="20.05" customHeight="1" x14ac:dyDescent="0.3"/>
    <row r="592" ht="20.05" customHeight="1" x14ac:dyDescent="0.3"/>
    <row r="593" ht="20.05" customHeight="1" x14ac:dyDescent="0.3"/>
    <row r="594" ht="20.05" customHeight="1" x14ac:dyDescent="0.3"/>
    <row r="595" ht="20.05" customHeight="1" x14ac:dyDescent="0.3"/>
    <row r="596" ht="20.05" customHeight="1" x14ac:dyDescent="0.3"/>
    <row r="597" ht="20.05" customHeight="1" x14ac:dyDescent="0.3"/>
    <row r="598" ht="20.05" customHeight="1" x14ac:dyDescent="0.3"/>
    <row r="599" ht="20.05" customHeight="1" x14ac:dyDescent="0.3"/>
    <row r="600" ht="20.05" customHeight="1" x14ac:dyDescent="0.3"/>
    <row r="601" ht="20.05" customHeight="1" x14ac:dyDescent="0.3"/>
    <row r="602" ht="20.05" customHeight="1" x14ac:dyDescent="0.3"/>
    <row r="603" ht="20.05" customHeight="1" x14ac:dyDescent="0.3"/>
    <row r="604" ht="20.05" customHeight="1" x14ac:dyDescent="0.3"/>
    <row r="605" ht="20.05" customHeight="1" x14ac:dyDescent="0.3"/>
    <row r="606" ht="20.05" customHeight="1" x14ac:dyDescent="0.3"/>
    <row r="607" ht="20.05" customHeight="1" x14ac:dyDescent="0.3"/>
    <row r="608" ht="20.05" customHeight="1" x14ac:dyDescent="0.3"/>
    <row r="609" ht="20.05" customHeight="1" x14ac:dyDescent="0.3"/>
    <row r="610" ht="20.05" customHeight="1" x14ac:dyDescent="0.3"/>
    <row r="611" ht="20.05" customHeight="1" x14ac:dyDescent="0.3"/>
    <row r="612" ht="20.05" customHeight="1" x14ac:dyDescent="0.3"/>
    <row r="613" ht="20.05" customHeight="1" x14ac:dyDescent="0.3"/>
    <row r="614" ht="20.05" customHeight="1" x14ac:dyDescent="0.3"/>
    <row r="615" ht="20.05" customHeight="1" x14ac:dyDescent="0.3"/>
    <row r="616" ht="20.05" customHeight="1" x14ac:dyDescent="0.3"/>
    <row r="617" ht="20.05" customHeight="1" x14ac:dyDescent="0.3"/>
    <row r="618" ht="20.05" customHeight="1" x14ac:dyDescent="0.3"/>
    <row r="619" ht="20.05" customHeight="1" x14ac:dyDescent="0.3"/>
    <row r="620" ht="20.05" customHeight="1" x14ac:dyDescent="0.3"/>
    <row r="621" ht="20.05" customHeight="1" x14ac:dyDescent="0.3"/>
    <row r="622" ht="20.05" customHeight="1" x14ac:dyDescent="0.3"/>
    <row r="623" ht="20.05" customHeight="1" x14ac:dyDescent="0.3"/>
    <row r="624" ht="20.05" customHeight="1" x14ac:dyDescent="0.3"/>
    <row r="625" ht="20.05" customHeight="1" x14ac:dyDescent="0.3"/>
    <row r="626" ht="20.05" customHeight="1" x14ac:dyDescent="0.3"/>
    <row r="627" ht="20.05" customHeight="1" x14ac:dyDescent="0.3"/>
    <row r="628" ht="20.05" customHeight="1" x14ac:dyDescent="0.3"/>
    <row r="629" ht="20.05" customHeight="1" x14ac:dyDescent="0.3"/>
    <row r="630" ht="20.05" customHeight="1" x14ac:dyDescent="0.3"/>
    <row r="631" ht="20.05" customHeight="1" x14ac:dyDescent="0.3"/>
    <row r="632" ht="20.05" customHeight="1" x14ac:dyDescent="0.3"/>
    <row r="633" ht="20.05" customHeight="1" x14ac:dyDescent="0.3"/>
    <row r="634" ht="20.05" customHeight="1" x14ac:dyDescent="0.3"/>
    <row r="635" ht="20.05" customHeight="1" x14ac:dyDescent="0.3"/>
    <row r="636" ht="20.05" customHeight="1" x14ac:dyDescent="0.3"/>
    <row r="637" ht="20.05" customHeight="1" x14ac:dyDescent="0.3"/>
    <row r="638" ht="20.05" customHeight="1" x14ac:dyDescent="0.3"/>
    <row r="639" ht="20.05" customHeight="1" x14ac:dyDescent="0.3"/>
    <row r="640" ht="20.05" customHeight="1" x14ac:dyDescent="0.3"/>
    <row r="641" ht="20.05" customHeight="1" x14ac:dyDescent="0.3"/>
    <row r="642" ht="20.05" customHeight="1" x14ac:dyDescent="0.3"/>
    <row r="643" ht="20.05" customHeight="1" x14ac:dyDescent="0.3"/>
    <row r="644" ht="20.05" customHeight="1" x14ac:dyDescent="0.3"/>
    <row r="645" ht="20.05" customHeight="1" x14ac:dyDescent="0.3"/>
    <row r="646" ht="20.05" customHeight="1" x14ac:dyDescent="0.3"/>
    <row r="647" ht="20.05" customHeight="1" x14ac:dyDescent="0.3"/>
    <row r="648" ht="20.05" customHeight="1" x14ac:dyDescent="0.3"/>
    <row r="649" ht="20.05" customHeight="1" x14ac:dyDescent="0.3"/>
    <row r="650" ht="20.05" customHeight="1" x14ac:dyDescent="0.3"/>
    <row r="651" ht="20.05" customHeight="1" x14ac:dyDescent="0.3"/>
    <row r="652" ht="20.05" customHeight="1" x14ac:dyDescent="0.3"/>
    <row r="653" ht="20.05" customHeight="1" x14ac:dyDescent="0.3"/>
    <row r="654" ht="20.05" customHeight="1" x14ac:dyDescent="0.3"/>
    <row r="655" ht="20.05" customHeight="1" x14ac:dyDescent="0.3"/>
    <row r="656" ht="20.05" customHeight="1" x14ac:dyDescent="0.3"/>
    <row r="657" ht="20.05" customHeight="1" x14ac:dyDescent="0.3"/>
    <row r="658" ht="20.05" customHeight="1" x14ac:dyDescent="0.3"/>
    <row r="659" ht="20.05" customHeight="1" x14ac:dyDescent="0.3"/>
    <row r="660" ht="20.05" customHeight="1" x14ac:dyDescent="0.3"/>
    <row r="661" ht="20.05" customHeight="1" x14ac:dyDescent="0.3"/>
    <row r="662" ht="20.05" customHeight="1" x14ac:dyDescent="0.3"/>
    <row r="663" ht="20.05" customHeight="1" x14ac:dyDescent="0.3"/>
    <row r="664" ht="20.05" customHeight="1" x14ac:dyDescent="0.3"/>
    <row r="665" ht="20.05" customHeight="1" x14ac:dyDescent="0.3"/>
    <row r="666" ht="20.05" customHeight="1" x14ac:dyDescent="0.3"/>
    <row r="667" ht="20.05" customHeight="1" x14ac:dyDescent="0.3"/>
    <row r="668" ht="20.05" customHeight="1" x14ac:dyDescent="0.3"/>
    <row r="669" ht="20.05" customHeight="1" x14ac:dyDescent="0.3"/>
    <row r="670" ht="20.05" customHeight="1" x14ac:dyDescent="0.3"/>
    <row r="671" ht="20.05" customHeight="1" x14ac:dyDescent="0.3"/>
    <row r="672" ht="20.05" customHeight="1" x14ac:dyDescent="0.3"/>
    <row r="673" ht="20.05" customHeight="1" x14ac:dyDescent="0.3"/>
    <row r="674" ht="20.05" customHeight="1" x14ac:dyDescent="0.3"/>
    <row r="675" ht="20.05" customHeight="1" x14ac:dyDescent="0.3"/>
    <row r="676" ht="20.05" customHeight="1" x14ac:dyDescent="0.3"/>
    <row r="677" ht="20.05" customHeight="1" x14ac:dyDescent="0.3"/>
    <row r="678" ht="20.05" customHeight="1" x14ac:dyDescent="0.3"/>
    <row r="679" ht="20.05" customHeight="1" x14ac:dyDescent="0.3"/>
    <row r="680" ht="20.05" customHeight="1" x14ac:dyDescent="0.3"/>
    <row r="681" ht="20.05" customHeight="1" x14ac:dyDescent="0.3"/>
    <row r="682" ht="20.05" customHeight="1" x14ac:dyDescent="0.3"/>
    <row r="683" ht="20.05" customHeight="1" x14ac:dyDescent="0.3"/>
    <row r="684" ht="20.05" customHeight="1" x14ac:dyDescent="0.3"/>
    <row r="685" ht="20.05" customHeight="1" x14ac:dyDescent="0.3"/>
    <row r="686" ht="20.05" customHeight="1" x14ac:dyDescent="0.3"/>
    <row r="687" ht="20.05" customHeight="1" x14ac:dyDescent="0.3"/>
    <row r="688" ht="20.05" customHeight="1" x14ac:dyDescent="0.3"/>
    <row r="689" ht="20.05" customHeight="1" x14ac:dyDescent="0.3"/>
    <row r="690" ht="20.05" customHeight="1" x14ac:dyDescent="0.3"/>
    <row r="691" ht="20.05" customHeight="1" x14ac:dyDescent="0.3"/>
    <row r="692" ht="20.05" customHeight="1" x14ac:dyDescent="0.3"/>
    <row r="693" ht="20.05" customHeight="1" x14ac:dyDescent="0.3"/>
    <row r="694" ht="20.05" customHeight="1" x14ac:dyDescent="0.3"/>
    <row r="695" ht="20.05" customHeight="1" x14ac:dyDescent="0.3"/>
    <row r="696" ht="20.05" customHeight="1" x14ac:dyDescent="0.3"/>
    <row r="697" ht="20.05" customHeight="1" x14ac:dyDescent="0.3"/>
    <row r="698" ht="20.05" customHeight="1" x14ac:dyDescent="0.3"/>
    <row r="699" ht="20.05" customHeight="1" x14ac:dyDescent="0.3"/>
    <row r="700" ht="20.05" customHeight="1" x14ac:dyDescent="0.3"/>
    <row r="701" ht="20.05" customHeight="1" x14ac:dyDescent="0.3"/>
    <row r="702" ht="20.05" customHeight="1" x14ac:dyDescent="0.3"/>
    <row r="703" ht="20.05" customHeight="1" x14ac:dyDescent="0.3"/>
    <row r="704" ht="20.05" customHeight="1" x14ac:dyDescent="0.3"/>
    <row r="705" ht="20.05" customHeight="1" x14ac:dyDescent="0.3"/>
    <row r="706" ht="20.05" customHeight="1" x14ac:dyDescent="0.3"/>
    <row r="707" ht="20.05" customHeight="1" x14ac:dyDescent="0.3"/>
    <row r="708" ht="20.05" customHeight="1" x14ac:dyDescent="0.3"/>
    <row r="709" ht="20.05" customHeight="1" x14ac:dyDescent="0.3"/>
    <row r="710" ht="20.05" customHeight="1" x14ac:dyDescent="0.3"/>
    <row r="711" ht="20.05" customHeight="1" x14ac:dyDescent="0.3"/>
    <row r="712" ht="20.05" customHeight="1" x14ac:dyDescent="0.3"/>
    <row r="713" ht="20.05" customHeight="1" x14ac:dyDescent="0.3"/>
    <row r="714" ht="20.05" customHeight="1" x14ac:dyDescent="0.3"/>
    <row r="715" ht="20.05" customHeight="1" x14ac:dyDescent="0.3"/>
    <row r="716" ht="20.05" customHeight="1" x14ac:dyDescent="0.3"/>
    <row r="717" ht="20.05" customHeight="1" x14ac:dyDescent="0.3"/>
    <row r="718" ht="20.05" customHeight="1" x14ac:dyDescent="0.3"/>
    <row r="719" ht="20.05" customHeight="1" x14ac:dyDescent="0.3"/>
    <row r="720" ht="20.05" customHeight="1" x14ac:dyDescent="0.3"/>
    <row r="721" ht="20.05" customHeight="1" x14ac:dyDescent="0.3"/>
    <row r="722" ht="20.05" customHeight="1" x14ac:dyDescent="0.3"/>
    <row r="723" ht="20.05" customHeight="1" x14ac:dyDescent="0.3"/>
    <row r="724" ht="20.05" customHeight="1" x14ac:dyDescent="0.3"/>
    <row r="725" ht="20.05" customHeight="1" x14ac:dyDescent="0.3"/>
    <row r="726" ht="20.05" customHeight="1" x14ac:dyDescent="0.3"/>
    <row r="727" ht="20.05" customHeight="1" x14ac:dyDescent="0.3"/>
    <row r="728" ht="20.05" customHeight="1" x14ac:dyDescent="0.3"/>
    <row r="729" ht="20.05" customHeight="1" x14ac:dyDescent="0.3"/>
    <row r="730" ht="20.05" customHeight="1" x14ac:dyDescent="0.3"/>
    <row r="731" ht="20.05" customHeight="1" x14ac:dyDescent="0.3"/>
    <row r="732" ht="20.05" customHeight="1" x14ac:dyDescent="0.3"/>
    <row r="733" ht="20.05" customHeight="1" x14ac:dyDescent="0.3"/>
    <row r="734" ht="20.05" customHeight="1" x14ac:dyDescent="0.3"/>
    <row r="735" ht="20.05" customHeight="1" x14ac:dyDescent="0.3"/>
    <row r="736" ht="20.05" customHeight="1" x14ac:dyDescent="0.3"/>
    <row r="737" ht="20.05" customHeight="1" x14ac:dyDescent="0.3"/>
    <row r="738" ht="20.05" customHeight="1" x14ac:dyDescent="0.3"/>
    <row r="739" ht="20.05" customHeight="1" x14ac:dyDescent="0.3"/>
    <row r="740" ht="20.05" customHeight="1" x14ac:dyDescent="0.3"/>
    <row r="741" ht="20.05" customHeight="1" x14ac:dyDescent="0.3"/>
    <row r="742" ht="20.05" customHeight="1" x14ac:dyDescent="0.3"/>
    <row r="743" ht="20.05" customHeight="1" x14ac:dyDescent="0.3"/>
    <row r="744" ht="20.05" customHeight="1" x14ac:dyDescent="0.3"/>
    <row r="745" ht="20.05" customHeight="1" x14ac:dyDescent="0.3"/>
    <row r="746" ht="20.05" customHeight="1" x14ac:dyDescent="0.3"/>
    <row r="747" ht="20.05" customHeight="1" x14ac:dyDescent="0.3"/>
    <row r="748" ht="20.05" customHeight="1" x14ac:dyDescent="0.3"/>
    <row r="749" ht="20.05" customHeight="1" x14ac:dyDescent="0.3"/>
    <row r="750" ht="20.05" customHeight="1" x14ac:dyDescent="0.3"/>
    <row r="751" ht="20.05" customHeight="1" x14ac:dyDescent="0.3"/>
    <row r="752" ht="20.05" customHeight="1" x14ac:dyDescent="0.3"/>
    <row r="753" ht="20.05" customHeight="1" x14ac:dyDescent="0.3"/>
    <row r="754" ht="20.05" customHeight="1" x14ac:dyDescent="0.3"/>
    <row r="755" ht="20.05" customHeight="1" x14ac:dyDescent="0.3"/>
    <row r="756" ht="20.05" customHeight="1" x14ac:dyDescent="0.3"/>
    <row r="757" ht="20.05" customHeight="1" x14ac:dyDescent="0.3"/>
    <row r="758" ht="20.05" customHeight="1" x14ac:dyDescent="0.3"/>
    <row r="759" ht="20.05" customHeight="1" x14ac:dyDescent="0.3"/>
    <row r="760" ht="20.05" customHeight="1" x14ac:dyDescent="0.3"/>
    <row r="761" ht="20.05" customHeight="1" x14ac:dyDescent="0.3"/>
    <row r="762" ht="20.05" customHeight="1" x14ac:dyDescent="0.3"/>
    <row r="763" ht="20.05" customHeight="1" x14ac:dyDescent="0.3"/>
    <row r="764" ht="20.05" customHeight="1" x14ac:dyDescent="0.3"/>
    <row r="765" ht="20.05" customHeight="1" x14ac:dyDescent="0.3"/>
    <row r="766" ht="20.05" customHeight="1" x14ac:dyDescent="0.3"/>
    <row r="767" ht="20.05" customHeight="1" x14ac:dyDescent="0.3"/>
    <row r="768" ht="20.05" customHeight="1" x14ac:dyDescent="0.3"/>
    <row r="769" ht="20.05" customHeight="1" x14ac:dyDescent="0.3"/>
    <row r="770" ht="20.05" customHeight="1" x14ac:dyDescent="0.3"/>
    <row r="771" ht="20.05" customHeight="1" x14ac:dyDescent="0.3"/>
    <row r="772" ht="20.05" customHeight="1" x14ac:dyDescent="0.3"/>
    <row r="773" ht="20.05" customHeight="1" x14ac:dyDescent="0.3"/>
    <row r="774" ht="20.05" customHeight="1" x14ac:dyDescent="0.3"/>
    <row r="775" ht="20.05" customHeight="1" x14ac:dyDescent="0.3"/>
    <row r="776" ht="20.05" customHeight="1" x14ac:dyDescent="0.3"/>
    <row r="777" ht="20.05" customHeight="1" x14ac:dyDescent="0.3"/>
    <row r="778" ht="20.05" customHeight="1" x14ac:dyDescent="0.3"/>
    <row r="779" ht="20.05" customHeight="1" x14ac:dyDescent="0.3"/>
    <row r="780" ht="20.05" customHeight="1" x14ac:dyDescent="0.3"/>
    <row r="781" ht="20.05" customHeight="1" x14ac:dyDescent="0.3"/>
    <row r="782" ht="20.05" customHeight="1" x14ac:dyDescent="0.3"/>
    <row r="783" ht="20.05" customHeight="1" x14ac:dyDescent="0.3"/>
    <row r="784" ht="20.05" customHeight="1" x14ac:dyDescent="0.3"/>
    <row r="785" ht="20.05" customHeight="1" x14ac:dyDescent="0.3"/>
    <row r="786" ht="20.05" customHeight="1" x14ac:dyDescent="0.3"/>
    <row r="787" ht="20.05" customHeight="1" x14ac:dyDescent="0.3"/>
    <row r="788" ht="20.05" customHeight="1" x14ac:dyDescent="0.3"/>
    <row r="789" ht="20.05" customHeight="1" x14ac:dyDescent="0.3"/>
    <row r="790" ht="20.05" customHeight="1" x14ac:dyDescent="0.3"/>
    <row r="791" ht="20.05" customHeight="1" x14ac:dyDescent="0.3"/>
    <row r="792" ht="20.05" customHeight="1" x14ac:dyDescent="0.3"/>
    <row r="793" ht="20.05" customHeight="1" x14ac:dyDescent="0.3"/>
    <row r="794" ht="20.05" customHeight="1" x14ac:dyDescent="0.3"/>
    <row r="795" ht="20.05" customHeight="1" x14ac:dyDescent="0.3"/>
    <row r="796" ht="20.05" customHeight="1" x14ac:dyDescent="0.3"/>
    <row r="797" ht="20.05" customHeight="1" x14ac:dyDescent="0.3"/>
    <row r="798" ht="20.05" customHeight="1" x14ac:dyDescent="0.3"/>
    <row r="799" ht="20.05" customHeight="1" x14ac:dyDescent="0.3"/>
    <row r="800" ht="20.05" customHeight="1" x14ac:dyDescent="0.3"/>
    <row r="801" ht="20.05" customHeight="1" x14ac:dyDescent="0.3"/>
    <row r="802" ht="20.05" customHeight="1" x14ac:dyDescent="0.3"/>
    <row r="803" ht="20.05" customHeight="1" x14ac:dyDescent="0.3"/>
    <row r="804" ht="20.05" customHeight="1" x14ac:dyDescent="0.3"/>
    <row r="805" ht="20.05" customHeight="1" x14ac:dyDescent="0.3"/>
    <row r="806" ht="20.05" customHeight="1" x14ac:dyDescent="0.3"/>
    <row r="807" ht="20.05" customHeight="1" x14ac:dyDescent="0.3"/>
    <row r="808" ht="20.05" customHeight="1" x14ac:dyDescent="0.3"/>
    <row r="809" ht="20.05" customHeight="1" x14ac:dyDescent="0.3"/>
    <row r="810" ht="20.05" customHeight="1" x14ac:dyDescent="0.3"/>
    <row r="811" ht="20.05" customHeight="1" x14ac:dyDescent="0.3"/>
    <row r="812" ht="20.05" customHeight="1" x14ac:dyDescent="0.3"/>
    <row r="813" ht="20.05" customHeight="1" x14ac:dyDescent="0.3"/>
    <row r="814" ht="20.05" customHeight="1" x14ac:dyDescent="0.3"/>
    <row r="815" ht="20.05" customHeight="1" x14ac:dyDescent="0.3"/>
    <row r="816" ht="20.05" customHeight="1" x14ac:dyDescent="0.3"/>
    <row r="817" ht="20.05" customHeight="1" x14ac:dyDescent="0.3"/>
    <row r="818" ht="20.05" customHeight="1" x14ac:dyDescent="0.3"/>
    <row r="819" ht="20.05" customHeight="1" x14ac:dyDescent="0.3"/>
    <row r="820" ht="20.05" customHeight="1" x14ac:dyDescent="0.3"/>
    <row r="821" ht="20.05" customHeight="1" x14ac:dyDescent="0.3"/>
    <row r="822" ht="20.05" customHeight="1" x14ac:dyDescent="0.3"/>
    <row r="823" ht="20.05" customHeight="1" x14ac:dyDescent="0.3"/>
    <row r="824" ht="20.05" customHeight="1" x14ac:dyDescent="0.3"/>
    <row r="825" ht="20.05" customHeight="1" x14ac:dyDescent="0.3"/>
    <row r="826" ht="20.05" customHeight="1" x14ac:dyDescent="0.3"/>
    <row r="827" ht="20.05" customHeight="1" x14ac:dyDescent="0.3"/>
    <row r="828" ht="20.05" customHeight="1" x14ac:dyDescent="0.3"/>
    <row r="829" ht="20.05" customHeight="1" x14ac:dyDescent="0.3"/>
    <row r="830" ht="20.05" customHeight="1" x14ac:dyDescent="0.3"/>
    <row r="831" ht="20.05" customHeight="1" x14ac:dyDescent="0.3"/>
    <row r="832" ht="20.05" customHeight="1" x14ac:dyDescent="0.3"/>
    <row r="833" ht="20.05" customHeight="1" x14ac:dyDescent="0.3"/>
    <row r="834" ht="20.05" customHeight="1" x14ac:dyDescent="0.3"/>
    <row r="835" ht="20.05" customHeight="1" x14ac:dyDescent="0.3"/>
    <row r="836" ht="20.05" customHeight="1" x14ac:dyDescent="0.3"/>
    <row r="837" ht="20.05" customHeight="1" x14ac:dyDescent="0.3"/>
    <row r="838" ht="20.05" customHeight="1" x14ac:dyDescent="0.3"/>
    <row r="839" ht="20.05" customHeight="1" x14ac:dyDescent="0.3"/>
    <row r="840" ht="20.05" customHeight="1" x14ac:dyDescent="0.3"/>
    <row r="841" ht="20.05" customHeight="1" x14ac:dyDescent="0.3"/>
    <row r="842" ht="20.05" customHeight="1" x14ac:dyDescent="0.3"/>
    <row r="843" ht="20.05" customHeight="1" x14ac:dyDescent="0.3"/>
    <row r="844" ht="20.05" customHeight="1" x14ac:dyDescent="0.3"/>
    <row r="845" ht="20.05" customHeight="1" x14ac:dyDescent="0.3"/>
    <row r="846" ht="20.05" customHeight="1" x14ac:dyDescent="0.3"/>
    <row r="847" ht="20.05" customHeight="1" x14ac:dyDescent="0.3"/>
    <row r="848" ht="20.05" customHeight="1" x14ac:dyDescent="0.3"/>
    <row r="849" ht="20.05" customHeight="1" x14ac:dyDescent="0.3"/>
    <row r="850" ht="20.05" customHeight="1" x14ac:dyDescent="0.3"/>
    <row r="851" ht="20.05" customHeight="1" x14ac:dyDescent="0.3"/>
    <row r="852" ht="20.05" customHeight="1" x14ac:dyDescent="0.3"/>
    <row r="853" ht="20.05" customHeight="1" x14ac:dyDescent="0.3"/>
    <row r="854" ht="20.05" customHeight="1" x14ac:dyDescent="0.3"/>
    <row r="855" ht="20.05" customHeight="1" x14ac:dyDescent="0.3"/>
    <row r="856" ht="20.05" customHeight="1" x14ac:dyDescent="0.3"/>
    <row r="857" ht="20.05" customHeight="1" x14ac:dyDescent="0.3"/>
    <row r="858" ht="20.05" customHeight="1" x14ac:dyDescent="0.3"/>
    <row r="859" ht="20.05" customHeight="1" x14ac:dyDescent="0.3"/>
    <row r="860" ht="20.05" customHeight="1" x14ac:dyDescent="0.3"/>
    <row r="861" ht="20.05" customHeight="1" x14ac:dyDescent="0.3"/>
    <row r="862" ht="20.05" customHeight="1" x14ac:dyDescent="0.3"/>
    <row r="863" ht="20.05" customHeight="1" x14ac:dyDescent="0.3"/>
    <row r="864" ht="20.05" customHeight="1" x14ac:dyDescent="0.3"/>
    <row r="865" ht="20.05" customHeight="1" x14ac:dyDescent="0.3"/>
    <row r="866" ht="20.05" customHeight="1" x14ac:dyDescent="0.3"/>
    <row r="867" ht="20.05" customHeight="1" x14ac:dyDescent="0.3"/>
    <row r="868" ht="20.05" customHeight="1" x14ac:dyDescent="0.3"/>
    <row r="869" ht="20.05" customHeight="1" x14ac:dyDescent="0.3"/>
    <row r="870" ht="20.05" customHeight="1" x14ac:dyDescent="0.3"/>
    <row r="871" ht="20.05" customHeight="1" x14ac:dyDescent="0.3"/>
    <row r="872" ht="20.05" customHeight="1" x14ac:dyDescent="0.3"/>
    <row r="873" ht="20.05" customHeight="1" x14ac:dyDescent="0.3"/>
    <row r="874" ht="20.05" customHeight="1" x14ac:dyDescent="0.3"/>
    <row r="875" ht="20.05" customHeight="1" x14ac:dyDescent="0.3"/>
    <row r="876" ht="20.05" customHeight="1" x14ac:dyDescent="0.3"/>
    <row r="877" ht="20.05" customHeight="1" x14ac:dyDescent="0.3"/>
    <row r="878" ht="20.05" customHeight="1" x14ac:dyDescent="0.3"/>
    <row r="879" ht="20.05" customHeight="1" x14ac:dyDescent="0.3"/>
    <row r="880" ht="20.05" customHeight="1" x14ac:dyDescent="0.3"/>
    <row r="881" ht="20.05" customHeight="1" x14ac:dyDescent="0.3"/>
    <row r="882" ht="20.05" customHeight="1" x14ac:dyDescent="0.3"/>
    <row r="883" ht="20.05" customHeight="1" x14ac:dyDescent="0.3"/>
    <row r="884" ht="20.05" customHeight="1" x14ac:dyDescent="0.3"/>
    <row r="885" ht="20.05" customHeight="1" x14ac:dyDescent="0.3"/>
    <row r="886" ht="20.05" customHeight="1" x14ac:dyDescent="0.3"/>
    <row r="887" ht="20.05" customHeight="1" x14ac:dyDescent="0.3"/>
    <row r="888" ht="20.05" customHeight="1" x14ac:dyDescent="0.3"/>
    <row r="889" ht="20.05" customHeight="1" x14ac:dyDescent="0.3"/>
    <row r="890" ht="20.05" customHeight="1" x14ac:dyDescent="0.3"/>
    <row r="891" ht="20.05" customHeight="1" x14ac:dyDescent="0.3"/>
    <row r="892" ht="20.05" customHeight="1" x14ac:dyDescent="0.3"/>
    <row r="893" ht="20.05" customHeight="1" x14ac:dyDescent="0.3"/>
    <row r="894" ht="20.05" customHeight="1" x14ac:dyDescent="0.3"/>
    <row r="895" ht="20.05" customHeight="1" x14ac:dyDescent="0.3"/>
    <row r="896" ht="20.05" customHeight="1" x14ac:dyDescent="0.3"/>
    <row r="897" ht="20.05" customHeight="1" x14ac:dyDescent="0.3"/>
    <row r="898" ht="20.05" customHeight="1" x14ac:dyDescent="0.3"/>
    <row r="899" ht="20.05" customHeight="1" x14ac:dyDescent="0.3"/>
    <row r="900" ht="20.05" customHeight="1" x14ac:dyDescent="0.3"/>
    <row r="901" ht="20.05" customHeight="1" x14ac:dyDescent="0.3"/>
    <row r="902" ht="20.05" customHeight="1" x14ac:dyDescent="0.3"/>
    <row r="903" ht="20.05" customHeight="1" x14ac:dyDescent="0.3"/>
    <row r="904" ht="20.05" customHeight="1" x14ac:dyDescent="0.3"/>
    <row r="905" ht="20.05" customHeight="1" x14ac:dyDescent="0.3"/>
    <row r="906" ht="20.05" customHeight="1" x14ac:dyDescent="0.3"/>
    <row r="907" ht="20.05" customHeight="1" x14ac:dyDescent="0.3"/>
    <row r="908" ht="20.05" customHeight="1" x14ac:dyDescent="0.3"/>
    <row r="909" ht="20.05" customHeight="1" x14ac:dyDescent="0.3"/>
    <row r="910" ht="20.05" customHeight="1" x14ac:dyDescent="0.3"/>
    <row r="911" ht="20.05" customHeight="1" x14ac:dyDescent="0.3"/>
    <row r="912" ht="20.05" customHeight="1" x14ac:dyDescent="0.3"/>
    <row r="913" ht="20.05" customHeight="1" x14ac:dyDescent="0.3"/>
    <row r="914" ht="20.05" customHeight="1" x14ac:dyDescent="0.3"/>
    <row r="915" ht="20.05" customHeight="1" x14ac:dyDescent="0.3"/>
    <row r="916" ht="20.05" customHeight="1" x14ac:dyDescent="0.3"/>
    <row r="917" ht="20.05" customHeight="1" x14ac:dyDescent="0.3"/>
    <row r="918" ht="20.05" customHeight="1" x14ac:dyDescent="0.3"/>
    <row r="919" ht="20.05" customHeight="1" x14ac:dyDescent="0.3"/>
    <row r="920" ht="20.05" customHeight="1" x14ac:dyDescent="0.3"/>
    <row r="921" ht="20.05" customHeight="1" x14ac:dyDescent="0.3"/>
    <row r="922" ht="20.05" customHeight="1" x14ac:dyDescent="0.3"/>
    <row r="923" ht="20.05" customHeight="1" x14ac:dyDescent="0.3"/>
    <row r="924" ht="20.05" customHeight="1" x14ac:dyDescent="0.3"/>
    <row r="925" ht="20.05" customHeight="1" x14ac:dyDescent="0.3"/>
    <row r="926" ht="20.05" customHeight="1" x14ac:dyDescent="0.3"/>
    <row r="927" ht="20.05" customHeight="1" x14ac:dyDescent="0.3"/>
    <row r="928" ht="20.05" customHeight="1" x14ac:dyDescent="0.3"/>
    <row r="929" ht="20.05" customHeight="1" x14ac:dyDescent="0.3"/>
    <row r="930" ht="20.05" customHeight="1" x14ac:dyDescent="0.3"/>
    <row r="931" ht="20.05" customHeight="1" x14ac:dyDescent="0.3"/>
    <row r="932" ht="20.05" customHeight="1" x14ac:dyDescent="0.3"/>
    <row r="933" ht="20.05" customHeight="1" x14ac:dyDescent="0.3"/>
    <row r="934" ht="20.05" customHeight="1" x14ac:dyDescent="0.3"/>
    <row r="935" ht="20.05" customHeight="1" x14ac:dyDescent="0.3"/>
    <row r="936" ht="20.05" customHeight="1" x14ac:dyDescent="0.3"/>
    <row r="937" ht="20.05" customHeight="1" x14ac:dyDescent="0.3"/>
    <row r="938" ht="20.05" customHeight="1" x14ac:dyDescent="0.3"/>
    <row r="939" ht="20.05" customHeight="1" x14ac:dyDescent="0.3"/>
    <row r="940" ht="20.05" customHeight="1" x14ac:dyDescent="0.3"/>
    <row r="941" ht="20.05" customHeight="1" x14ac:dyDescent="0.3"/>
    <row r="942" ht="20.05" customHeight="1" x14ac:dyDescent="0.3"/>
    <row r="943" ht="20.05" customHeight="1" x14ac:dyDescent="0.3"/>
    <row r="944" ht="20.05" customHeight="1" x14ac:dyDescent="0.3"/>
    <row r="945" ht="20.05" customHeight="1" x14ac:dyDescent="0.3"/>
    <row r="946" ht="20.05" customHeight="1" x14ac:dyDescent="0.3"/>
    <row r="947" ht="20.05" customHeight="1" x14ac:dyDescent="0.3"/>
    <row r="948" ht="20.05" customHeight="1" x14ac:dyDescent="0.3"/>
    <row r="949" ht="20.05" customHeight="1" x14ac:dyDescent="0.3"/>
    <row r="950" ht="20.05" customHeight="1" x14ac:dyDescent="0.3"/>
    <row r="951" ht="20.05" customHeight="1" x14ac:dyDescent="0.3"/>
    <row r="952" ht="20.05" customHeight="1" x14ac:dyDescent="0.3"/>
    <row r="953" ht="20.05" customHeight="1" x14ac:dyDescent="0.3"/>
    <row r="954" ht="20.05" customHeight="1" x14ac:dyDescent="0.3"/>
    <row r="955" ht="20.05" customHeight="1" x14ac:dyDescent="0.3"/>
    <row r="956" ht="20.05" customHeight="1" x14ac:dyDescent="0.3"/>
    <row r="957" ht="20.05" customHeight="1" x14ac:dyDescent="0.3"/>
    <row r="958" ht="20.05" customHeight="1" x14ac:dyDescent="0.3"/>
    <row r="959" ht="20.05" customHeight="1" x14ac:dyDescent="0.3"/>
    <row r="960" ht="20.05" customHeight="1" x14ac:dyDescent="0.3"/>
    <row r="961" ht="20.05" customHeight="1" x14ac:dyDescent="0.3"/>
    <row r="962" ht="20.05" customHeight="1" x14ac:dyDescent="0.3"/>
    <row r="963" ht="20.05" customHeight="1" x14ac:dyDescent="0.3"/>
    <row r="964" ht="20.05" customHeight="1" x14ac:dyDescent="0.3"/>
    <row r="965" ht="20.05" customHeight="1" x14ac:dyDescent="0.3"/>
    <row r="966" ht="20.05" customHeight="1" x14ac:dyDescent="0.3"/>
    <row r="967" ht="20.05" customHeight="1" x14ac:dyDescent="0.3"/>
    <row r="968" ht="20.05" customHeight="1" x14ac:dyDescent="0.3"/>
    <row r="969" ht="20.05" customHeight="1" x14ac:dyDescent="0.3"/>
    <row r="970" ht="20.05" customHeight="1" x14ac:dyDescent="0.3"/>
    <row r="971" ht="20.05" customHeight="1" x14ac:dyDescent="0.3"/>
    <row r="972" ht="20.05" customHeight="1" x14ac:dyDescent="0.3"/>
    <row r="973" ht="20.05" customHeight="1" x14ac:dyDescent="0.3"/>
    <row r="974" ht="20.05" customHeight="1" x14ac:dyDescent="0.3"/>
    <row r="975" ht="20.05" customHeight="1" x14ac:dyDescent="0.3"/>
    <row r="976" ht="20.05" customHeight="1" x14ac:dyDescent="0.3"/>
    <row r="977" ht="20.05" customHeight="1" x14ac:dyDescent="0.3"/>
    <row r="978" ht="20.05" customHeight="1" x14ac:dyDescent="0.3"/>
    <row r="979" ht="20.05" customHeight="1" x14ac:dyDescent="0.3"/>
    <row r="980" ht="20.05" customHeight="1" x14ac:dyDescent="0.3"/>
    <row r="981" ht="20.05" customHeight="1" x14ac:dyDescent="0.3"/>
    <row r="982" ht="20.05" customHeight="1" x14ac:dyDescent="0.3"/>
    <row r="983" ht="20.05" customHeight="1" x14ac:dyDescent="0.3"/>
    <row r="984" ht="20.05" customHeight="1" x14ac:dyDescent="0.3"/>
    <row r="985" ht="20.05" customHeight="1" x14ac:dyDescent="0.3"/>
    <row r="986" ht="20.05" customHeight="1" x14ac:dyDescent="0.3"/>
    <row r="987" ht="20.05" customHeight="1" x14ac:dyDescent="0.3"/>
    <row r="988" ht="20.05" customHeight="1" x14ac:dyDescent="0.3"/>
    <row r="989" ht="20.05" customHeight="1" x14ac:dyDescent="0.3"/>
    <row r="990" ht="20.05" customHeight="1" x14ac:dyDescent="0.3"/>
    <row r="991" ht="20.05" customHeight="1" x14ac:dyDescent="0.3"/>
    <row r="992" ht="20.05" customHeight="1" x14ac:dyDescent="0.3"/>
    <row r="993" ht="20.05" customHeight="1" x14ac:dyDescent="0.3"/>
    <row r="994" ht="20.05" customHeight="1" x14ac:dyDescent="0.3"/>
    <row r="995" ht="20.05" customHeight="1" x14ac:dyDescent="0.3"/>
    <row r="996" ht="20.05" customHeight="1" x14ac:dyDescent="0.3"/>
    <row r="997" ht="20.05" customHeight="1" x14ac:dyDescent="0.3"/>
    <row r="998" ht="20.05" customHeight="1" x14ac:dyDescent="0.3"/>
    <row r="999" ht="20.05" customHeight="1" x14ac:dyDescent="0.3"/>
    <row r="1000" ht="20.05" customHeight="1" x14ac:dyDescent="0.3"/>
    <row r="1001" ht="20.05" customHeight="1" x14ac:dyDescent="0.3"/>
    <row r="1002" ht="20.05" customHeight="1" x14ac:dyDescent="0.3"/>
    <row r="1003" ht="20.05" customHeight="1" x14ac:dyDescent="0.3"/>
    <row r="1004" ht="20.05" customHeight="1" x14ac:dyDescent="0.3"/>
    <row r="1005" ht="20.05" customHeight="1" x14ac:dyDescent="0.3"/>
    <row r="1006" ht="20.05" customHeight="1" x14ac:dyDescent="0.3"/>
    <row r="1007" ht="20.05" customHeight="1" x14ac:dyDescent="0.3"/>
    <row r="1008" ht="20.05" customHeight="1" x14ac:dyDescent="0.3"/>
    <row r="1009" ht="20.05" customHeight="1" x14ac:dyDescent="0.3"/>
    <row r="1010" ht="20.05" customHeight="1" x14ac:dyDescent="0.3"/>
    <row r="1011" ht="20.05" customHeight="1" x14ac:dyDescent="0.3"/>
    <row r="1012" ht="20.05" customHeight="1" x14ac:dyDescent="0.3"/>
    <row r="1013" ht="20.05" customHeight="1" x14ac:dyDescent="0.3"/>
    <row r="1014" ht="20.05" customHeight="1" x14ac:dyDescent="0.3"/>
    <row r="1015" ht="20.05" customHeight="1" x14ac:dyDescent="0.3"/>
    <row r="1016" ht="20.05" customHeight="1" x14ac:dyDescent="0.3"/>
    <row r="1017" ht="20.05" customHeight="1" x14ac:dyDescent="0.3"/>
    <row r="1018" ht="20.05" customHeight="1" x14ac:dyDescent="0.3"/>
    <row r="1019" ht="20.05" customHeight="1" x14ac:dyDescent="0.3"/>
    <row r="1020" ht="20.05" customHeight="1" x14ac:dyDescent="0.3"/>
    <row r="1021" ht="20.05" customHeight="1" x14ac:dyDescent="0.3"/>
    <row r="1022" ht="20.05" customHeight="1" x14ac:dyDescent="0.3"/>
    <row r="1023" ht="20.05" customHeight="1" x14ac:dyDescent="0.3"/>
    <row r="1024" ht="20.05" customHeight="1" x14ac:dyDescent="0.3"/>
    <row r="1025" ht="20.05" customHeight="1" x14ac:dyDescent="0.3"/>
    <row r="1026" ht="20.05" customHeight="1" x14ac:dyDescent="0.3"/>
    <row r="1027" ht="20.05" customHeight="1" x14ac:dyDescent="0.3"/>
    <row r="1028" ht="20.05" customHeight="1" x14ac:dyDescent="0.3"/>
    <row r="1029" ht="20.05" customHeight="1" x14ac:dyDescent="0.3"/>
    <row r="1030" ht="20.05" customHeight="1" x14ac:dyDescent="0.3"/>
    <row r="1031" ht="20.05" customHeight="1" x14ac:dyDescent="0.3"/>
    <row r="1032" ht="20.05" customHeight="1" x14ac:dyDescent="0.3"/>
    <row r="1033" ht="20.05" customHeight="1" x14ac:dyDescent="0.3"/>
    <row r="1034" ht="20.05" customHeight="1" x14ac:dyDescent="0.3"/>
    <row r="1035" ht="20.05" customHeight="1" x14ac:dyDescent="0.3"/>
    <row r="1036" ht="20.05" customHeight="1" x14ac:dyDescent="0.3"/>
    <row r="1037" ht="20.05" customHeight="1" x14ac:dyDescent="0.3"/>
    <row r="1038" ht="20.05" customHeight="1" x14ac:dyDescent="0.3"/>
    <row r="1039" ht="20.05" customHeight="1" x14ac:dyDescent="0.3"/>
    <row r="1040" ht="20.05" customHeight="1" x14ac:dyDescent="0.3"/>
    <row r="1041" ht="20.05" customHeight="1" x14ac:dyDescent="0.3"/>
    <row r="1042" ht="20.05" customHeight="1" x14ac:dyDescent="0.3"/>
    <row r="1043" ht="20.05" customHeight="1" x14ac:dyDescent="0.3"/>
    <row r="1044" ht="20.05" customHeight="1" x14ac:dyDescent="0.3"/>
    <row r="1045" ht="20.05" customHeight="1" x14ac:dyDescent="0.3"/>
    <row r="1046" ht="20.05" customHeight="1" x14ac:dyDescent="0.3"/>
    <row r="1047" ht="20.05" customHeight="1" x14ac:dyDescent="0.3"/>
    <row r="1048" ht="20.05" customHeight="1" x14ac:dyDescent="0.3"/>
    <row r="1049" ht="20.05" customHeight="1" x14ac:dyDescent="0.3"/>
    <row r="1050" ht="20.05" customHeight="1" x14ac:dyDescent="0.3"/>
    <row r="1051" ht="20.05" customHeight="1" x14ac:dyDescent="0.3"/>
    <row r="1052" ht="20.05" customHeight="1" x14ac:dyDescent="0.3"/>
    <row r="1053" ht="20.05" customHeight="1" x14ac:dyDescent="0.3"/>
    <row r="1054" ht="20.05" customHeight="1" x14ac:dyDescent="0.3"/>
    <row r="1055" ht="20.05" customHeight="1" x14ac:dyDescent="0.3"/>
    <row r="1056" ht="20.05" customHeight="1" x14ac:dyDescent="0.3"/>
    <row r="1057" ht="20.05" customHeight="1" x14ac:dyDescent="0.3"/>
    <row r="1058" ht="20.05" customHeight="1" x14ac:dyDescent="0.3"/>
    <row r="1059" ht="20.05" customHeight="1" x14ac:dyDescent="0.3"/>
    <row r="1060" ht="20.05" customHeight="1" x14ac:dyDescent="0.3"/>
    <row r="1061" ht="20.05" customHeight="1" x14ac:dyDescent="0.3"/>
    <row r="1062" ht="20.05" customHeight="1" x14ac:dyDescent="0.3"/>
    <row r="1063" ht="20.05" customHeight="1" x14ac:dyDescent="0.3"/>
    <row r="1064" ht="20.05" customHeight="1" x14ac:dyDescent="0.3"/>
    <row r="1065" ht="20.05" customHeight="1" x14ac:dyDescent="0.3"/>
    <row r="1066" ht="20.05" customHeight="1" x14ac:dyDescent="0.3"/>
    <row r="1067" ht="20.05" customHeight="1" x14ac:dyDescent="0.3"/>
    <row r="1068" ht="20.05" customHeight="1" x14ac:dyDescent="0.3"/>
    <row r="1069" ht="20.05" customHeight="1" x14ac:dyDescent="0.3"/>
    <row r="1070" ht="20.05" customHeight="1" x14ac:dyDescent="0.3"/>
    <row r="1071" ht="20.05" customHeight="1" x14ac:dyDescent="0.3"/>
    <row r="1072" ht="20.05" customHeight="1" x14ac:dyDescent="0.3"/>
    <row r="1073" ht="20.05" customHeight="1" x14ac:dyDescent="0.3"/>
    <row r="1074" ht="20.05" customHeight="1" x14ac:dyDescent="0.3"/>
    <row r="1075" ht="20.05" customHeight="1" x14ac:dyDescent="0.3"/>
    <row r="1076" ht="20.05" customHeight="1" x14ac:dyDescent="0.3"/>
    <row r="1077" ht="20.05" customHeight="1" x14ac:dyDescent="0.3"/>
    <row r="1078" ht="20.05" customHeight="1" x14ac:dyDescent="0.3"/>
    <row r="1079" ht="20.05" customHeight="1" x14ac:dyDescent="0.3"/>
    <row r="1080" ht="20.05" customHeight="1" x14ac:dyDescent="0.3"/>
    <row r="1081" ht="20.05" customHeight="1" x14ac:dyDescent="0.3"/>
    <row r="1082" ht="20.05" customHeight="1" x14ac:dyDescent="0.3"/>
    <row r="1083" ht="20.05" customHeight="1" x14ac:dyDescent="0.3"/>
    <row r="1084" ht="20.05" customHeight="1" x14ac:dyDescent="0.3"/>
    <row r="1085" ht="20.05" customHeight="1" x14ac:dyDescent="0.3"/>
    <row r="1086" ht="20.05" customHeight="1" x14ac:dyDescent="0.3"/>
    <row r="1087" ht="20.05" customHeight="1" x14ac:dyDescent="0.3"/>
    <row r="1088" ht="20.05" customHeight="1" x14ac:dyDescent="0.3"/>
    <row r="1089" ht="20.05" customHeight="1" x14ac:dyDescent="0.3"/>
    <row r="1090" ht="20.05" customHeight="1" x14ac:dyDescent="0.3"/>
    <row r="1091" ht="20.05" customHeight="1" x14ac:dyDescent="0.3"/>
    <row r="1092" ht="20.05" customHeight="1" x14ac:dyDescent="0.3"/>
    <row r="1093" ht="20.05" customHeight="1" x14ac:dyDescent="0.3"/>
    <row r="1094" ht="20.05" customHeight="1" x14ac:dyDescent="0.3"/>
    <row r="1095" ht="20.05" customHeight="1" x14ac:dyDescent="0.3"/>
    <row r="1096" ht="20.05" customHeight="1" x14ac:dyDescent="0.3"/>
    <row r="1097" ht="20.05" customHeight="1" x14ac:dyDescent="0.3"/>
    <row r="1098" ht="20.05" customHeight="1" x14ac:dyDescent="0.3"/>
    <row r="1099" ht="20.05" customHeight="1" x14ac:dyDescent="0.3"/>
    <row r="1100" ht="20.05" customHeight="1" x14ac:dyDescent="0.3"/>
    <row r="1101" ht="20.05" customHeight="1" x14ac:dyDescent="0.3"/>
    <row r="1102" ht="20.05" customHeight="1" x14ac:dyDescent="0.3"/>
    <row r="1103" ht="20.05" customHeight="1" x14ac:dyDescent="0.3"/>
    <row r="1104" ht="20.05" customHeight="1" x14ac:dyDescent="0.3"/>
    <row r="1105" ht="20.05" customHeight="1" x14ac:dyDescent="0.3"/>
    <row r="1106" ht="20.05" customHeight="1" x14ac:dyDescent="0.3"/>
    <row r="1107" ht="20.05" customHeight="1" x14ac:dyDescent="0.3"/>
    <row r="1108" ht="20.05" customHeight="1" x14ac:dyDescent="0.3"/>
    <row r="1109" ht="20.05" customHeight="1" x14ac:dyDescent="0.3"/>
    <row r="1110" ht="20.05" customHeight="1" x14ac:dyDescent="0.3"/>
    <row r="1111" ht="20.05" customHeight="1" x14ac:dyDescent="0.3"/>
    <row r="1112" ht="20.05" customHeight="1" x14ac:dyDescent="0.3"/>
    <row r="1113" ht="20.05" customHeight="1" x14ac:dyDescent="0.3"/>
    <row r="1114" ht="20.05" customHeight="1" x14ac:dyDescent="0.3"/>
    <row r="1115" ht="20.05" customHeight="1" x14ac:dyDescent="0.3"/>
    <row r="1116" ht="20.05" customHeight="1" x14ac:dyDescent="0.3"/>
    <row r="1117" ht="20.05" customHeight="1" x14ac:dyDescent="0.3"/>
    <row r="1118" ht="20.05" customHeight="1" x14ac:dyDescent="0.3"/>
    <row r="1119" ht="20.05" customHeight="1" x14ac:dyDescent="0.3"/>
    <row r="1120" ht="20.05" customHeight="1" x14ac:dyDescent="0.3"/>
    <row r="1121" ht="20.05" customHeight="1" x14ac:dyDescent="0.3"/>
    <row r="1122" ht="20.05" customHeight="1" x14ac:dyDescent="0.3"/>
    <row r="1123" ht="20.05" customHeight="1" x14ac:dyDescent="0.3"/>
    <row r="1124" ht="20.05" customHeight="1" x14ac:dyDescent="0.3"/>
    <row r="1125" ht="20.05" customHeight="1" x14ac:dyDescent="0.3"/>
    <row r="1126" ht="20.05" customHeight="1" x14ac:dyDescent="0.3"/>
    <row r="1127" ht="20.05" customHeight="1" x14ac:dyDescent="0.3"/>
    <row r="1128" ht="20.05" customHeight="1" x14ac:dyDescent="0.3"/>
    <row r="1129" ht="20.05" customHeight="1" x14ac:dyDescent="0.3"/>
    <row r="1130" ht="20.05" customHeight="1" x14ac:dyDescent="0.3"/>
    <row r="1131" ht="20.05" customHeight="1" x14ac:dyDescent="0.3"/>
    <row r="1132" ht="20.05" customHeight="1" x14ac:dyDescent="0.3"/>
    <row r="1133" ht="20.05" customHeight="1" x14ac:dyDescent="0.3"/>
    <row r="1134" ht="20.05" customHeight="1" x14ac:dyDescent="0.3"/>
    <row r="1135" ht="20.05" customHeight="1" x14ac:dyDescent="0.3"/>
    <row r="1136" ht="20.05" customHeight="1" x14ac:dyDescent="0.3"/>
    <row r="1137" ht="20.05" customHeight="1" x14ac:dyDescent="0.3"/>
    <row r="1138" ht="20.05" customHeight="1" x14ac:dyDescent="0.3"/>
    <row r="1139" ht="20.05" customHeight="1" x14ac:dyDescent="0.3"/>
    <row r="1140" ht="20.05" customHeight="1" x14ac:dyDescent="0.3"/>
    <row r="1141" ht="20.05" customHeight="1" x14ac:dyDescent="0.3"/>
    <row r="1142" ht="20.05" customHeight="1" x14ac:dyDescent="0.3"/>
    <row r="1143" ht="20.05" customHeight="1" x14ac:dyDescent="0.3"/>
    <row r="1144" ht="20.05" customHeight="1" x14ac:dyDescent="0.3"/>
    <row r="1145" ht="20.05" customHeight="1" x14ac:dyDescent="0.3"/>
    <row r="1146" ht="20.05" customHeight="1" x14ac:dyDescent="0.3"/>
    <row r="1147" ht="20.05" customHeight="1" x14ac:dyDescent="0.3"/>
    <row r="1148" ht="20.05" customHeight="1" x14ac:dyDescent="0.3"/>
    <row r="1149" ht="20.05" customHeight="1" x14ac:dyDescent="0.3"/>
    <row r="1150" ht="20.05" customHeight="1" x14ac:dyDescent="0.3"/>
    <row r="1151" ht="20.05" customHeight="1" x14ac:dyDescent="0.3"/>
    <row r="1152" ht="20.05" customHeight="1" x14ac:dyDescent="0.3"/>
    <row r="1153" ht="20.05" customHeight="1" x14ac:dyDescent="0.3"/>
    <row r="1154" ht="20.05" customHeight="1" x14ac:dyDescent="0.3"/>
    <row r="1155" ht="20.05" customHeight="1" x14ac:dyDescent="0.3"/>
    <row r="1156" ht="20.05" customHeight="1" x14ac:dyDescent="0.3"/>
    <row r="1157" ht="20.05" customHeight="1" x14ac:dyDescent="0.3"/>
    <row r="1158" ht="20.05" customHeight="1" x14ac:dyDescent="0.3"/>
    <row r="1159" ht="20.05" customHeight="1" x14ac:dyDescent="0.3"/>
    <row r="1160" ht="20.05" customHeight="1" x14ac:dyDescent="0.3"/>
    <row r="1161" ht="20.05" customHeight="1" x14ac:dyDescent="0.3"/>
    <row r="1162" ht="20.05" customHeight="1" x14ac:dyDescent="0.3"/>
    <row r="1163" ht="20.05" customHeight="1" x14ac:dyDescent="0.3"/>
    <row r="1164" ht="20.05" customHeight="1" x14ac:dyDescent="0.3"/>
    <row r="1165" ht="20.05" customHeight="1" x14ac:dyDescent="0.3"/>
    <row r="1166" ht="20.05" customHeight="1" x14ac:dyDescent="0.3"/>
    <row r="1167" ht="20.05" customHeight="1" x14ac:dyDescent="0.3"/>
    <row r="1168" ht="20.05" customHeight="1" x14ac:dyDescent="0.3"/>
    <row r="1169" ht="20.05" customHeight="1" x14ac:dyDescent="0.3"/>
    <row r="1170" ht="20.05" customHeight="1" x14ac:dyDescent="0.3"/>
    <row r="1171" ht="20.05" customHeight="1" x14ac:dyDescent="0.3"/>
    <row r="1172" ht="20.05" customHeight="1" x14ac:dyDescent="0.3"/>
    <row r="1173" ht="20.05" customHeight="1" x14ac:dyDescent="0.3"/>
    <row r="1174" ht="20.05" customHeight="1" x14ac:dyDescent="0.3"/>
    <row r="1175" ht="20.05" customHeight="1" x14ac:dyDescent="0.3"/>
    <row r="1176" ht="20.05" customHeight="1" x14ac:dyDescent="0.3"/>
    <row r="1177" ht="20.05" customHeight="1" x14ac:dyDescent="0.3"/>
    <row r="1178" ht="20.05" customHeight="1" x14ac:dyDescent="0.3"/>
    <row r="1179" ht="20.05" customHeight="1" x14ac:dyDescent="0.3"/>
    <row r="1180" ht="20.05" customHeight="1" x14ac:dyDescent="0.3"/>
    <row r="1181" ht="20.05" customHeight="1" x14ac:dyDescent="0.3"/>
    <row r="1182" ht="20.05" customHeight="1" x14ac:dyDescent="0.3"/>
    <row r="1183" ht="20.05" customHeight="1" x14ac:dyDescent="0.3"/>
    <row r="1184" ht="20.05" customHeight="1" x14ac:dyDescent="0.3"/>
    <row r="1185" ht="20.05" customHeight="1" x14ac:dyDescent="0.3"/>
    <row r="1186" ht="20.05" customHeight="1" x14ac:dyDescent="0.3"/>
    <row r="1187" ht="20.05" customHeight="1" x14ac:dyDescent="0.3"/>
    <row r="1188" ht="20.05" customHeight="1" x14ac:dyDescent="0.3"/>
    <row r="1189" ht="20.05" customHeight="1" x14ac:dyDescent="0.3"/>
    <row r="1190" ht="20.05" customHeight="1" x14ac:dyDescent="0.3"/>
    <row r="1191" ht="20.05" customHeight="1" x14ac:dyDescent="0.3"/>
    <row r="1192" ht="20.05" customHeight="1" x14ac:dyDescent="0.3"/>
    <row r="1193" ht="20.05" customHeight="1" x14ac:dyDescent="0.3"/>
    <row r="1194" ht="20.05" customHeight="1" x14ac:dyDescent="0.3"/>
    <row r="1195" ht="20.05" customHeight="1" x14ac:dyDescent="0.3"/>
    <row r="1196" ht="20.05" customHeight="1" x14ac:dyDescent="0.3"/>
    <row r="1197" ht="20.05" customHeight="1" x14ac:dyDescent="0.3"/>
    <row r="1198" ht="20.05" customHeight="1" x14ac:dyDescent="0.3"/>
    <row r="1199" ht="20.05" customHeight="1" x14ac:dyDescent="0.3"/>
    <row r="1200" ht="20.05" customHeight="1" x14ac:dyDescent="0.3"/>
    <row r="1201" ht="20.05" customHeight="1" x14ac:dyDescent="0.3"/>
    <row r="1202" ht="20.05" customHeight="1" x14ac:dyDescent="0.3"/>
    <row r="1203" ht="20.05" customHeight="1" x14ac:dyDescent="0.3"/>
    <row r="1204" ht="20.05" customHeight="1" x14ac:dyDescent="0.3"/>
    <row r="1205" ht="20.05" customHeight="1" x14ac:dyDescent="0.3"/>
    <row r="1206" ht="20.05" customHeight="1" x14ac:dyDescent="0.3"/>
    <row r="1207" ht="20.05" customHeight="1" x14ac:dyDescent="0.3"/>
    <row r="1208" ht="20.05" customHeight="1" x14ac:dyDescent="0.3"/>
    <row r="1209" ht="20.05" customHeight="1" x14ac:dyDescent="0.3"/>
    <row r="1210" ht="20.05" customHeight="1" x14ac:dyDescent="0.3"/>
    <row r="1211" ht="20.05" customHeight="1" x14ac:dyDescent="0.3"/>
    <row r="1212" ht="20.05" customHeight="1" x14ac:dyDescent="0.3"/>
    <row r="1213" ht="20.05" customHeight="1" x14ac:dyDescent="0.3"/>
    <row r="1214" ht="20.05" customHeight="1" x14ac:dyDescent="0.3"/>
    <row r="1215" ht="20.05" customHeight="1" x14ac:dyDescent="0.3"/>
    <row r="1216" ht="20.05" customHeight="1" x14ac:dyDescent="0.3"/>
    <row r="1217" ht="20.05" customHeight="1" x14ac:dyDescent="0.3"/>
    <row r="1218" ht="20.05" customHeight="1" x14ac:dyDescent="0.3"/>
    <row r="1219" ht="20.05" customHeight="1" x14ac:dyDescent="0.3"/>
    <row r="1220" ht="20.05" customHeight="1" x14ac:dyDescent="0.3"/>
    <row r="1221" ht="20.05" customHeight="1" x14ac:dyDescent="0.3"/>
    <row r="1222" ht="20.05" customHeight="1" x14ac:dyDescent="0.3"/>
    <row r="1223" ht="20.05" customHeight="1" x14ac:dyDescent="0.3"/>
    <row r="1224" ht="20.05" customHeight="1" x14ac:dyDescent="0.3"/>
    <row r="1225" ht="20.05" customHeight="1" x14ac:dyDescent="0.3"/>
    <row r="1226" ht="20.05" customHeight="1" x14ac:dyDescent="0.3"/>
    <row r="1227" ht="20.05" customHeight="1" x14ac:dyDescent="0.3"/>
    <row r="1228" ht="20.05" customHeight="1" x14ac:dyDescent="0.3"/>
    <row r="1229" ht="20.05" customHeight="1" x14ac:dyDescent="0.3"/>
    <row r="1230" ht="20.05" customHeight="1" x14ac:dyDescent="0.3"/>
    <row r="1231" ht="20.05" customHeight="1" x14ac:dyDescent="0.3"/>
    <row r="1232" ht="20.05" customHeight="1" x14ac:dyDescent="0.3"/>
    <row r="1233" ht="20.05" customHeight="1" x14ac:dyDescent="0.3"/>
    <row r="1234" ht="20.05" customHeight="1" x14ac:dyDescent="0.3"/>
    <row r="1235" ht="20.05" customHeight="1" x14ac:dyDescent="0.3"/>
    <row r="1236" ht="20.05" customHeight="1" x14ac:dyDescent="0.3"/>
    <row r="1237" ht="20.05" customHeight="1" x14ac:dyDescent="0.3"/>
    <row r="1238" ht="20.05" customHeight="1" x14ac:dyDescent="0.3"/>
    <row r="1239" ht="20.05" customHeight="1" x14ac:dyDescent="0.3"/>
    <row r="1240" ht="20.05" customHeight="1" x14ac:dyDescent="0.3"/>
    <row r="1241" ht="20.05" customHeight="1" x14ac:dyDescent="0.3"/>
    <row r="1242" ht="20.05" customHeight="1" x14ac:dyDescent="0.3"/>
    <row r="1243" ht="20.05" customHeight="1" x14ac:dyDescent="0.3"/>
    <row r="1244" ht="20.05" customHeight="1" x14ac:dyDescent="0.3"/>
    <row r="1245" ht="20.05" customHeight="1" x14ac:dyDescent="0.3"/>
    <row r="1246" ht="20.05" customHeight="1" x14ac:dyDescent="0.3"/>
    <row r="1247" ht="20.05" customHeight="1" x14ac:dyDescent="0.3"/>
    <row r="1248" ht="20.05" customHeight="1" x14ac:dyDescent="0.3"/>
    <row r="1249" ht="20.05" customHeight="1" x14ac:dyDescent="0.3"/>
    <row r="1250" ht="20.05" customHeight="1" x14ac:dyDescent="0.3"/>
    <row r="1251" ht="20.05" customHeight="1" x14ac:dyDescent="0.3"/>
    <row r="1252" ht="20.05" customHeight="1" x14ac:dyDescent="0.3"/>
    <row r="1253" ht="20.05" customHeight="1" x14ac:dyDescent="0.3"/>
    <row r="1254" ht="20.05" customHeight="1" x14ac:dyDescent="0.3"/>
    <row r="1255" ht="20.05" customHeight="1" x14ac:dyDescent="0.3"/>
    <row r="1256" ht="20.05" customHeight="1" x14ac:dyDescent="0.3"/>
    <row r="1257" ht="20.05" customHeight="1" x14ac:dyDescent="0.3"/>
    <row r="1258" ht="20.05" customHeight="1" x14ac:dyDescent="0.3"/>
    <row r="1259" ht="20.05" customHeight="1" x14ac:dyDescent="0.3"/>
    <row r="1260" ht="20.05" customHeight="1" x14ac:dyDescent="0.3"/>
    <row r="1261" ht="20.05" customHeight="1" x14ac:dyDescent="0.3"/>
    <row r="1262" ht="20.05" customHeight="1" x14ac:dyDescent="0.3"/>
    <row r="1263" ht="20.05" customHeight="1" x14ac:dyDescent="0.3"/>
    <row r="1264" ht="20.05" customHeight="1" x14ac:dyDescent="0.3"/>
    <row r="1265" ht="20.05" customHeight="1" x14ac:dyDescent="0.3"/>
    <row r="1266" ht="20.05" customHeight="1" x14ac:dyDescent="0.3"/>
    <row r="1267" ht="20.05" customHeight="1" x14ac:dyDescent="0.3"/>
    <row r="1268" ht="20.05" customHeight="1" x14ac:dyDescent="0.3"/>
    <row r="1269" ht="20.05" customHeight="1" x14ac:dyDescent="0.3"/>
    <row r="1270" ht="20.05" customHeight="1" x14ac:dyDescent="0.3"/>
    <row r="1271" ht="20.05" customHeight="1" x14ac:dyDescent="0.3"/>
    <row r="1272" ht="20.05" customHeight="1" x14ac:dyDescent="0.3"/>
    <row r="1273" ht="20.05" customHeight="1" x14ac:dyDescent="0.3"/>
    <row r="1274" ht="20.05" customHeight="1" x14ac:dyDescent="0.3"/>
    <row r="1275" ht="20.05" customHeight="1" x14ac:dyDescent="0.3"/>
    <row r="1276" ht="20.05" customHeight="1" x14ac:dyDescent="0.3"/>
    <row r="1277" ht="20.05" customHeight="1" x14ac:dyDescent="0.3"/>
    <row r="1278" ht="20.05" customHeight="1" x14ac:dyDescent="0.3"/>
    <row r="1279" ht="20.05" customHeight="1" x14ac:dyDescent="0.3"/>
    <row r="1280" ht="20.05" customHeight="1" x14ac:dyDescent="0.3"/>
    <row r="1281" ht="20.05" customHeight="1" x14ac:dyDescent="0.3"/>
    <row r="1282" ht="20.05" customHeight="1" x14ac:dyDescent="0.3"/>
    <row r="1283" ht="20.05" customHeight="1" x14ac:dyDescent="0.3"/>
    <row r="1284" ht="20.05" customHeight="1" x14ac:dyDescent="0.3"/>
    <row r="1285" ht="20.05" customHeight="1" x14ac:dyDescent="0.3"/>
    <row r="1286" ht="20.05" customHeight="1" x14ac:dyDescent="0.3"/>
    <row r="1287" ht="20.05" customHeight="1" x14ac:dyDescent="0.3"/>
    <row r="1288" ht="20.05" customHeight="1" x14ac:dyDescent="0.3"/>
    <row r="1289" ht="20.05" customHeight="1" x14ac:dyDescent="0.3"/>
    <row r="1290" ht="20.05" customHeight="1" x14ac:dyDescent="0.3"/>
    <row r="1291" ht="20.05" customHeight="1" x14ac:dyDescent="0.3"/>
    <row r="1292" ht="20.05" customHeight="1" x14ac:dyDescent="0.3"/>
    <row r="1293" ht="20.05" customHeight="1" x14ac:dyDescent="0.3"/>
    <row r="1294" ht="20.05" customHeight="1" x14ac:dyDescent="0.3"/>
    <row r="1295" ht="20.05" customHeight="1" x14ac:dyDescent="0.3"/>
    <row r="1296" ht="20.05" customHeight="1" x14ac:dyDescent="0.3"/>
    <row r="1297" ht="20.05" customHeight="1" x14ac:dyDescent="0.3"/>
    <row r="1298" ht="20.05" customHeight="1" x14ac:dyDescent="0.3"/>
    <row r="1299" ht="20.05" customHeight="1" x14ac:dyDescent="0.3"/>
    <row r="1300" ht="20.05" customHeight="1" x14ac:dyDescent="0.3"/>
    <row r="1301" ht="20.05" customHeight="1" x14ac:dyDescent="0.3"/>
    <row r="1302" ht="20.05" customHeight="1" x14ac:dyDescent="0.3"/>
    <row r="1303" ht="20.05" customHeight="1" x14ac:dyDescent="0.3"/>
    <row r="1304" ht="20.05" customHeight="1" x14ac:dyDescent="0.3"/>
    <row r="1305" ht="20.05" customHeight="1" x14ac:dyDescent="0.3"/>
    <row r="1306" ht="20.05" customHeight="1" x14ac:dyDescent="0.3"/>
    <row r="1307" ht="20.05" customHeight="1" x14ac:dyDescent="0.3"/>
    <row r="1308" ht="20.05" customHeight="1" x14ac:dyDescent="0.3"/>
    <row r="1309" ht="20.05" customHeight="1" x14ac:dyDescent="0.3"/>
    <row r="1310" ht="20.05" customHeight="1" x14ac:dyDescent="0.3"/>
    <row r="1311" ht="20.05" customHeight="1" x14ac:dyDescent="0.3"/>
    <row r="1312" ht="20.05" customHeight="1" x14ac:dyDescent="0.3"/>
    <row r="1313" ht="20.05" customHeight="1" x14ac:dyDescent="0.3"/>
    <row r="1314" ht="20.05" customHeight="1" x14ac:dyDescent="0.3"/>
    <row r="1315" ht="20.05" customHeight="1" x14ac:dyDescent="0.3"/>
    <row r="1316" ht="20.05" customHeight="1" x14ac:dyDescent="0.3"/>
    <row r="1317" ht="20.05" customHeight="1" x14ac:dyDescent="0.3"/>
    <row r="1318" ht="20.05" customHeight="1" x14ac:dyDescent="0.3"/>
    <row r="1319" ht="20.05" customHeight="1" x14ac:dyDescent="0.3"/>
    <row r="1320" ht="20.05" customHeight="1" x14ac:dyDescent="0.3"/>
    <row r="1321" ht="20.05" customHeight="1" x14ac:dyDescent="0.3"/>
    <row r="1322" ht="20.05" customHeight="1" x14ac:dyDescent="0.3"/>
    <row r="1323" ht="20.05" customHeight="1" x14ac:dyDescent="0.3"/>
    <row r="1324" ht="20.05" customHeight="1" x14ac:dyDescent="0.3"/>
    <row r="1325" ht="20.05" customHeight="1" x14ac:dyDescent="0.3"/>
    <row r="1326" ht="20.05" customHeight="1" x14ac:dyDescent="0.3"/>
    <row r="1327" ht="20.05" customHeight="1" x14ac:dyDescent="0.3"/>
    <row r="1328" ht="20.05" customHeight="1" x14ac:dyDescent="0.3"/>
    <row r="1329" ht="20.05" customHeight="1" x14ac:dyDescent="0.3"/>
    <row r="1330" ht="20.05" customHeight="1" x14ac:dyDescent="0.3"/>
    <row r="1331" ht="20.05" customHeight="1" x14ac:dyDescent="0.3"/>
    <row r="1332" ht="20.05" customHeight="1" x14ac:dyDescent="0.3"/>
    <row r="1333" ht="20.05" customHeight="1" x14ac:dyDescent="0.3"/>
    <row r="1334" ht="20.05" customHeight="1" x14ac:dyDescent="0.3"/>
    <row r="1335" ht="20.05" customHeight="1" x14ac:dyDescent="0.3"/>
    <row r="1336" ht="20.05" customHeight="1" x14ac:dyDescent="0.3"/>
    <row r="1337" ht="20.05" customHeight="1" x14ac:dyDescent="0.3"/>
    <row r="1338" ht="20.05" customHeight="1" x14ac:dyDescent="0.3"/>
    <row r="1339" ht="20.05" customHeight="1" x14ac:dyDescent="0.3"/>
    <row r="1340" ht="20.05" customHeight="1" x14ac:dyDescent="0.3"/>
    <row r="1341" ht="20.05" customHeight="1" x14ac:dyDescent="0.3"/>
    <row r="1342" ht="20.05" customHeight="1" x14ac:dyDescent="0.3"/>
    <row r="1343" ht="20.05" customHeight="1" x14ac:dyDescent="0.3"/>
    <row r="1344" ht="20.05" customHeight="1" x14ac:dyDescent="0.3"/>
    <row r="1345" ht="20.05" customHeight="1" x14ac:dyDescent="0.3"/>
    <row r="1346" ht="20.05" customHeight="1" x14ac:dyDescent="0.3"/>
    <row r="1347" ht="20.05" customHeight="1" x14ac:dyDescent="0.3"/>
    <row r="1348" ht="20.05" customHeight="1" x14ac:dyDescent="0.3"/>
    <row r="1349" ht="20.05" customHeight="1" x14ac:dyDescent="0.3"/>
    <row r="1350" ht="20.05" customHeight="1" x14ac:dyDescent="0.3"/>
    <row r="1351" ht="20.05" customHeight="1" x14ac:dyDescent="0.3"/>
    <row r="1352" ht="20.05" customHeight="1" x14ac:dyDescent="0.3"/>
    <row r="1353" ht="20.05" customHeight="1" x14ac:dyDescent="0.3"/>
    <row r="1354" ht="20.05" customHeight="1" x14ac:dyDescent="0.3"/>
    <row r="1355" ht="20.05" customHeight="1" x14ac:dyDescent="0.3"/>
    <row r="1356" ht="20.05" customHeight="1" x14ac:dyDescent="0.3"/>
    <row r="1357" ht="20.05" customHeight="1" x14ac:dyDescent="0.3"/>
    <row r="1358" ht="20.05" customHeight="1" x14ac:dyDescent="0.3"/>
    <row r="1359" ht="20.05" customHeight="1" x14ac:dyDescent="0.3"/>
    <row r="1360" ht="20.05" customHeight="1" x14ac:dyDescent="0.3"/>
    <row r="1361" ht="20.05" customHeight="1" x14ac:dyDescent="0.3"/>
    <row r="1362" ht="20.05" customHeight="1" x14ac:dyDescent="0.3"/>
    <row r="1363" ht="20.05" customHeight="1" x14ac:dyDescent="0.3"/>
    <row r="1364" ht="20.05" customHeight="1" x14ac:dyDescent="0.3"/>
    <row r="1365" ht="20.05" customHeight="1" x14ac:dyDescent="0.3"/>
    <row r="1366" ht="20.05" customHeight="1" x14ac:dyDescent="0.3"/>
    <row r="1367" ht="20.05" customHeight="1" x14ac:dyDescent="0.3"/>
    <row r="1368" ht="20.05" customHeight="1" x14ac:dyDescent="0.3"/>
    <row r="1369" ht="20.05" customHeight="1" x14ac:dyDescent="0.3"/>
    <row r="1370" ht="20.05" customHeight="1" x14ac:dyDescent="0.3"/>
    <row r="1371" ht="20.05" customHeight="1" x14ac:dyDescent="0.3"/>
    <row r="1372" ht="20.05" customHeight="1" x14ac:dyDescent="0.3"/>
    <row r="1373" ht="20.05" customHeight="1" x14ac:dyDescent="0.3"/>
    <row r="1374" ht="20.05" customHeight="1" x14ac:dyDescent="0.3"/>
    <row r="1375" ht="20.05" customHeight="1" x14ac:dyDescent="0.3"/>
    <row r="1376" ht="20.05" customHeight="1" x14ac:dyDescent="0.3"/>
    <row r="1377" ht="20.05" customHeight="1" x14ac:dyDescent="0.3"/>
    <row r="1378" ht="20.05" customHeight="1" x14ac:dyDescent="0.3"/>
    <row r="1379" ht="20.05" customHeight="1" x14ac:dyDescent="0.3"/>
    <row r="1380" ht="20.05" customHeight="1" x14ac:dyDescent="0.3"/>
    <row r="1381" ht="20.05" customHeight="1" x14ac:dyDescent="0.3"/>
    <row r="1382" ht="20.05" customHeight="1" x14ac:dyDescent="0.3"/>
    <row r="1383" ht="20.05" customHeight="1" x14ac:dyDescent="0.3"/>
    <row r="1384" ht="20.05" customHeight="1" x14ac:dyDescent="0.3"/>
    <row r="1385" ht="20.05" customHeight="1" x14ac:dyDescent="0.3"/>
    <row r="1386" ht="20.05" customHeight="1" x14ac:dyDescent="0.3"/>
    <row r="1387" ht="20.05" customHeight="1" x14ac:dyDescent="0.3"/>
    <row r="1388" ht="20.05" customHeight="1" x14ac:dyDescent="0.3"/>
    <row r="1389" ht="20.05" customHeight="1" x14ac:dyDescent="0.3"/>
    <row r="1390" ht="20.05" customHeight="1" x14ac:dyDescent="0.3"/>
    <row r="1391" ht="20.05" customHeight="1" x14ac:dyDescent="0.3"/>
    <row r="1392" ht="20.05" customHeight="1" x14ac:dyDescent="0.3"/>
    <row r="1393" ht="20.05" customHeight="1" x14ac:dyDescent="0.3"/>
    <row r="1394" ht="20.05" customHeight="1" x14ac:dyDescent="0.3"/>
    <row r="1395" ht="20.05" customHeight="1" x14ac:dyDescent="0.3"/>
    <row r="1396" ht="20.05" customHeight="1" x14ac:dyDescent="0.3"/>
    <row r="1397" ht="20.05" customHeight="1" x14ac:dyDescent="0.3"/>
    <row r="1398" ht="20.05" customHeight="1" x14ac:dyDescent="0.3"/>
    <row r="1399" ht="20.05" customHeight="1" x14ac:dyDescent="0.3"/>
    <row r="1400" ht="20.05" customHeight="1" x14ac:dyDescent="0.3"/>
    <row r="1401" ht="20.05" customHeight="1" x14ac:dyDescent="0.3"/>
    <row r="1402" ht="20.05" customHeight="1" x14ac:dyDescent="0.3"/>
    <row r="1403" ht="20.05" customHeight="1" x14ac:dyDescent="0.3"/>
    <row r="1404" ht="20.05" customHeight="1" x14ac:dyDescent="0.3"/>
    <row r="1405" ht="20.05" customHeight="1" x14ac:dyDescent="0.3"/>
    <row r="1406" ht="20.05" customHeight="1" x14ac:dyDescent="0.3"/>
    <row r="1407" ht="20.05" customHeight="1" x14ac:dyDescent="0.3"/>
    <row r="1408" ht="20.05" customHeight="1" x14ac:dyDescent="0.3"/>
    <row r="1409" ht="20.05" customHeight="1" x14ac:dyDescent="0.3"/>
    <row r="1410" ht="20.05" customHeight="1" x14ac:dyDescent="0.3"/>
    <row r="1411" ht="20.05" customHeight="1" x14ac:dyDescent="0.3"/>
    <row r="1412" ht="20.05" customHeight="1" x14ac:dyDescent="0.3"/>
    <row r="1413" ht="20.05" customHeight="1" x14ac:dyDescent="0.3"/>
    <row r="1414" ht="20.05" customHeight="1" x14ac:dyDescent="0.3"/>
    <row r="1415" ht="20.05" customHeight="1" x14ac:dyDescent="0.3"/>
    <row r="1416" ht="20.05" customHeight="1" x14ac:dyDescent="0.3"/>
    <row r="1417" ht="20.05" customHeight="1" x14ac:dyDescent="0.3"/>
    <row r="1418" ht="20.05" customHeight="1" x14ac:dyDescent="0.3"/>
    <row r="1419" ht="20.05" customHeight="1" x14ac:dyDescent="0.3"/>
    <row r="1420" ht="20.05" customHeight="1" x14ac:dyDescent="0.3"/>
    <row r="1421" ht="20.05" customHeight="1" x14ac:dyDescent="0.3"/>
    <row r="1422" ht="20.05" customHeight="1" x14ac:dyDescent="0.3"/>
    <row r="1423" ht="20.05" customHeight="1" x14ac:dyDescent="0.3"/>
    <row r="1424" ht="20.05" customHeight="1" x14ac:dyDescent="0.3"/>
    <row r="1425" ht="20.05" customHeight="1" x14ac:dyDescent="0.3"/>
    <row r="1426" ht="20.05" customHeight="1" x14ac:dyDescent="0.3"/>
    <row r="1427" ht="20.05" customHeight="1" x14ac:dyDescent="0.3"/>
    <row r="1428" ht="20.05" customHeight="1" x14ac:dyDescent="0.3"/>
    <row r="1429" ht="20.05" customHeight="1" x14ac:dyDescent="0.3"/>
    <row r="1430" ht="20.05" customHeight="1" x14ac:dyDescent="0.3"/>
    <row r="1431" ht="20.05" customHeight="1" x14ac:dyDescent="0.3"/>
    <row r="1432" ht="20.05" customHeight="1" x14ac:dyDescent="0.3"/>
    <row r="1433" ht="20.05" customHeight="1" x14ac:dyDescent="0.3"/>
    <row r="1434" ht="20.05" customHeight="1" x14ac:dyDescent="0.3"/>
    <row r="1435" ht="20.05" customHeight="1" x14ac:dyDescent="0.3"/>
    <row r="1436" ht="20.05" customHeight="1" x14ac:dyDescent="0.3"/>
    <row r="1437" ht="20.05" customHeight="1" x14ac:dyDescent="0.3"/>
    <row r="1438" ht="20.05" customHeight="1" x14ac:dyDescent="0.3"/>
    <row r="1439" ht="20.05" customHeight="1" x14ac:dyDescent="0.3"/>
    <row r="1440" ht="20.05" customHeight="1" x14ac:dyDescent="0.3"/>
    <row r="1441" ht="20.05" customHeight="1" x14ac:dyDescent="0.3"/>
    <row r="1442" ht="20.05" customHeight="1" x14ac:dyDescent="0.3"/>
    <row r="1443" ht="20.05" customHeight="1" x14ac:dyDescent="0.3"/>
    <row r="1444" ht="20.05" customHeight="1" x14ac:dyDescent="0.3"/>
    <row r="1445" ht="20.05" customHeight="1" x14ac:dyDescent="0.3"/>
    <row r="1446" ht="20.05" customHeight="1" x14ac:dyDescent="0.3"/>
    <row r="1447" ht="20.05" customHeight="1" x14ac:dyDescent="0.3"/>
    <row r="1448" ht="20.05" customHeight="1" x14ac:dyDescent="0.3"/>
    <row r="1449" ht="20.05" customHeight="1" x14ac:dyDescent="0.3"/>
    <row r="1450" ht="20.05" customHeight="1" x14ac:dyDescent="0.3"/>
    <row r="1451" ht="20.05" customHeight="1" x14ac:dyDescent="0.3"/>
    <row r="1452" ht="20.05" customHeight="1" x14ac:dyDescent="0.3"/>
    <row r="1453" ht="20.05" customHeight="1" x14ac:dyDescent="0.3"/>
    <row r="1454" ht="20.05" customHeight="1" x14ac:dyDescent="0.3"/>
    <row r="1455" ht="20.05" customHeight="1" x14ac:dyDescent="0.3"/>
    <row r="1456" ht="20.05" customHeight="1" x14ac:dyDescent="0.3"/>
    <row r="1457" ht="20.05" customHeight="1" x14ac:dyDescent="0.3"/>
    <row r="1458" ht="20.05" customHeight="1" x14ac:dyDescent="0.3"/>
    <row r="1459" ht="20.05" customHeight="1" x14ac:dyDescent="0.3"/>
    <row r="1460" ht="20.05" customHeight="1" x14ac:dyDescent="0.3"/>
    <row r="1461" ht="20.05" customHeight="1" x14ac:dyDescent="0.3"/>
    <row r="1462" ht="20.05" customHeight="1" x14ac:dyDescent="0.3"/>
    <row r="1463" ht="20.05" customHeight="1" x14ac:dyDescent="0.3"/>
    <row r="1464" ht="20.05" customHeight="1" x14ac:dyDescent="0.3"/>
    <row r="1465" ht="20.05" customHeight="1" x14ac:dyDescent="0.3"/>
    <row r="1466" ht="20.05" customHeight="1" x14ac:dyDescent="0.3"/>
    <row r="1467" ht="20.05" customHeight="1" x14ac:dyDescent="0.3"/>
    <row r="1468" ht="20.05" customHeight="1" x14ac:dyDescent="0.3"/>
    <row r="1469" ht="20.05" customHeight="1" x14ac:dyDescent="0.3"/>
    <row r="1470" ht="20.05" customHeight="1" x14ac:dyDescent="0.3"/>
    <row r="1471" ht="20.05" customHeight="1" x14ac:dyDescent="0.3"/>
    <row r="1472" ht="20.05" customHeight="1" x14ac:dyDescent="0.3"/>
    <row r="1473" ht="20.05" customHeight="1" x14ac:dyDescent="0.3"/>
    <row r="1474" ht="20.05" customHeight="1" x14ac:dyDescent="0.3"/>
    <row r="1475" ht="20.05" customHeight="1" x14ac:dyDescent="0.3"/>
    <row r="1476" ht="20.05" customHeight="1" x14ac:dyDescent="0.3"/>
    <row r="1477" ht="20.05" customHeight="1" x14ac:dyDescent="0.3"/>
    <row r="1478" ht="20.05" customHeight="1" x14ac:dyDescent="0.3"/>
    <row r="1479" ht="20.05" customHeight="1" x14ac:dyDescent="0.3"/>
    <row r="1480" ht="20.05" customHeight="1" x14ac:dyDescent="0.3"/>
    <row r="1481" ht="20.05" customHeight="1" x14ac:dyDescent="0.3"/>
    <row r="1482" ht="20.05" customHeight="1" x14ac:dyDescent="0.3"/>
    <row r="1483" ht="20.05" customHeight="1" x14ac:dyDescent="0.3"/>
    <row r="1484" ht="20.05" customHeight="1" x14ac:dyDescent="0.3"/>
    <row r="1485" ht="20.05" customHeight="1" x14ac:dyDescent="0.3"/>
    <row r="1486" ht="20.05" customHeight="1" x14ac:dyDescent="0.3"/>
    <row r="1487" ht="20.05" customHeight="1" x14ac:dyDescent="0.3"/>
    <row r="1488" ht="20.05" customHeight="1" x14ac:dyDescent="0.3"/>
    <row r="1489" ht="20.05" customHeight="1" x14ac:dyDescent="0.3"/>
    <row r="1490" ht="20.05" customHeight="1" x14ac:dyDescent="0.3"/>
    <row r="1491" ht="20.05" customHeight="1" x14ac:dyDescent="0.3"/>
    <row r="1492" ht="20.05" customHeight="1" x14ac:dyDescent="0.3"/>
    <row r="1493" ht="20.05" customHeight="1" x14ac:dyDescent="0.3"/>
    <row r="1494" ht="20.05" customHeight="1" x14ac:dyDescent="0.3"/>
    <row r="1495" ht="20.05" customHeight="1" x14ac:dyDescent="0.3"/>
    <row r="1496" ht="20.05" customHeight="1" x14ac:dyDescent="0.3"/>
    <row r="1497" ht="20.05" customHeight="1" x14ac:dyDescent="0.3"/>
    <row r="1498" ht="20.05" customHeight="1" x14ac:dyDescent="0.3"/>
    <row r="1499" ht="20.05" customHeight="1" x14ac:dyDescent="0.3"/>
    <row r="1500" ht="20.05" customHeight="1" x14ac:dyDescent="0.3"/>
    <row r="1501" ht="20.05" customHeight="1" x14ac:dyDescent="0.3"/>
    <row r="1502" ht="20.05" customHeight="1" x14ac:dyDescent="0.3"/>
    <row r="1503" ht="20.05" customHeight="1" x14ac:dyDescent="0.3"/>
    <row r="1504" ht="20.05" customHeight="1" x14ac:dyDescent="0.3"/>
    <row r="1505" ht="20.05" customHeight="1" x14ac:dyDescent="0.3"/>
    <row r="1506" ht="20.05" customHeight="1" x14ac:dyDescent="0.3"/>
    <row r="1507" ht="20.05" customHeight="1" x14ac:dyDescent="0.3"/>
    <row r="1508" ht="20.05" customHeight="1" x14ac:dyDescent="0.3"/>
    <row r="1509" ht="20.05" customHeight="1" x14ac:dyDescent="0.3"/>
    <row r="1510" ht="20.05" customHeight="1" x14ac:dyDescent="0.3"/>
    <row r="1511" ht="20.05" customHeight="1" x14ac:dyDescent="0.3"/>
    <row r="1512" ht="20.05" customHeight="1" x14ac:dyDescent="0.3"/>
    <row r="1513" ht="20.05" customHeight="1" x14ac:dyDescent="0.3"/>
    <row r="1514" ht="20.05" customHeight="1" x14ac:dyDescent="0.3"/>
    <row r="1515" ht="20.05" customHeight="1" x14ac:dyDescent="0.3"/>
    <row r="1516" ht="20.05" customHeight="1" x14ac:dyDescent="0.3"/>
    <row r="1517" ht="20.05" customHeight="1" x14ac:dyDescent="0.3"/>
    <row r="1518" ht="20.05" customHeight="1" x14ac:dyDescent="0.3"/>
    <row r="1519" ht="20.05" customHeight="1" x14ac:dyDescent="0.3"/>
    <row r="1520" ht="20.05" customHeight="1" x14ac:dyDescent="0.3"/>
    <row r="1521" ht="20.05" customHeight="1" x14ac:dyDescent="0.3"/>
    <row r="1522" ht="20.05" customHeight="1" x14ac:dyDescent="0.3"/>
    <row r="1523" ht="20.05" customHeight="1" x14ac:dyDescent="0.3"/>
    <row r="1524" ht="20.05" customHeight="1" x14ac:dyDescent="0.3"/>
    <row r="1525" ht="20.05" customHeight="1" x14ac:dyDescent="0.3"/>
    <row r="1526" ht="20.05" customHeight="1" x14ac:dyDescent="0.3"/>
    <row r="1527" ht="20.05" customHeight="1" x14ac:dyDescent="0.3"/>
    <row r="1528" ht="20.05" customHeight="1" x14ac:dyDescent="0.3"/>
    <row r="1529" ht="20.05" customHeight="1" x14ac:dyDescent="0.3"/>
    <row r="1530" ht="20.05" customHeight="1" x14ac:dyDescent="0.3"/>
    <row r="1531" ht="20.05" customHeight="1" x14ac:dyDescent="0.3"/>
    <row r="1532" ht="20.05" customHeight="1" x14ac:dyDescent="0.3"/>
    <row r="1533" ht="20.05" customHeight="1" x14ac:dyDescent="0.3"/>
    <row r="1534" ht="20.05" customHeight="1" x14ac:dyDescent="0.3"/>
    <row r="1535" ht="20.05" customHeight="1" x14ac:dyDescent="0.3"/>
    <row r="1536" ht="20.05" customHeight="1" x14ac:dyDescent="0.3"/>
    <row r="1537" ht="20.05" customHeight="1" x14ac:dyDescent="0.3"/>
    <row r="1538" ht="20.05" customHeight="1" x14ac:dyDescent="0.3"/>
    <row r="1539" ht="20.05" customHeight="1" x14ac:dyDescent="0.3"/>
    <row r="1540" ht="20.05" customHeight="1" x14ac:dyDescent="0.3"/>
    <row r="1541" ht="20.05" customHeight="1" x14ac:dyDescent="0.3"/>
    <row r="1542" ht="20.05" customHeight="1" x14ac:dyDescent="0.3"/>
    <row r="1543" ht="20.05" customHeight="1" x14ac:dyDescent="0.3"/>
    <row r="1544" ht="20.05" customHeight="1" x14ac:dyDescent="0.3"/>
    <row r="1545" ht="20.05" customHeight="1" x14ac:dyDescent="0.3"/>
    <row r="1546" ht="20.05" customHeight="1" x14ac:dyDescent="0.3"/>
    <row r="1547" ht="20.05" customHeight="1" x14ac:dyDescent="0.3"/>
    <row r="1548" ht="20.05" customHeight="1" x14ac:dyDescent="0.3"/>
    <row r="1549" ht="20.05" customHeight="1" x14ac:dyDescent="0.3"/>
    <row r="1550" ht="20.05" customHeight="1" x14ac:dyDescent="0.3"/>
    <row r="1551" ht="20.05" customHeight="1" x14ac:dyDescent="0.3"/>
    <row r="1552" ht="20.05" customHeight="1" x14ac:dyDescent="0.3"/>
    <row r="1553" ht="20.05" customHeight="1" x14ac:dyDescent="0.3"/>
    <row r="1554" ht="20.05" customHeight="1" x14ac:dyDescent="0.3"/>
    <row r="1555" ht="20.05" customHeight="1" x14ac:dyDescent="0.3"/>
    <row r="1556" ht="20.05" customHeight="1" x14ac:dyDescent="0.3"/>
    <row r="1557" ht="20.05" customHeight="1" x14ac:dyDescent="0.3"/>
    <row r="1558" ht="20.05" customHeight="1" x14ac:dyDescent="0.3"/>
    <row r="1559" ht="20.05" customHeight="1" x14ac:dyDescent="0.3"/>
    <row r="1560" ht="20.05" customHeight="1" x14ac:dyDescent="0.3"/>
    <row r="1561" ht="20.05" customHeight="1" x14ac:dyDescent="0.3"/>
    <row r="1562" ht="20.05" customHeight="1" x14ac:dyDescent="0.3"/>
    <row r="1563" ht="20.05" customHeight="1" x14ac:dyDescent="0.3"/>
    <row r="1564" ht="20.05" customHeight="1" x14ac:dyDescent="0.3"/>
    <row r="1565" ht="20.05" customHeight="1" x14ac:dyDescent="0.3"/>
    <row r="1566" ht="20.05" customHeight="1" x14ac:dyDescent="0.3"/>
    <row r="1567" ht="20.05" customHeight="1" x14ac:dyDescent="0.3"/>
    <row r="1568" ht="20.05" customHeight="1" x14ac:dyDescent="0.3"/>
    <row r="1569" ht="20.05" customHeight="1" x14ac:dyDescent="0.3"/>
    <row r="1570" ht="20.05" customHeight="1" x14ac:dyDescent="0.3"/>
    <row r="1571" ht="20.05" customHeight="1" x14ac:dyDescent="0.3"/>
    <row r="1572" ht="20.05" customHeight="1" x14ac:dyDescent="0.3"/>
    <row r="1573" ht="20.05" customHeight="1" x14ac:dyDescent="0.3"/>
    <row r="1574" ht="20.05" customHeight="1" x14ac:dyDescent="0.3"/>
    <row r="1575" ht="20.05" customHeight="1" x14ac:dyDescent="0.3"/>
    <row r="1576" ht="20.05" customHeight="1" x14ac:dyDescent="0.3"/>
    <row r="1577" ht="20.05" customHeight="1" x14ac:dyDescent="0.3"/>
    <row r="1578" ht="20.05" customHeight="1" x14ac:dyDescent="0.3"/>
    <row r="1579" ht="20.05" customHeight="1" x14ac:dyDescent="0.3"/>
    <row r="1580" ht="20.05" customHeight="1" x14ac:dyDescent="0.3"/>
    <row r="1581" ht="20.05" customHeight="1" x14ac:dyDescent="0.3"/>
    <row r="1582" ht="20.05" customHeight="1" x14ac:dyDescent="0.3"/>
    <row r="1583" ht="20.05" customHeight="1" x14ac:dyDescent="0.3"/>
    <row r="1584" ht="20.05" customHeight="1" x14ac:dyDescent="0.3"/>
    <row r="1585" ht="20.05" customHeight="1" x14ac:dyDescent="0.3"/>
    <row r="1586" ht="20.05" customHeight="1" x14ac:dyDescent="0.3"/>
    <row r="1587" ht="20.05" customHeight="1" x14ac:dyDescent="0.3"/>
    <row r="1588" ht="20.05" customHeight="1" x14ac:dyDescent="0.3"/>
    <row r="1589" ht="20.05" customHeight="1" x14ac:dyDescent="0.3"/>
    <row r="1590" ht="20.05" customHeight="1" x14ac:dyDescent="0.3"/>
    <row r="1591" ht="20.05" customHeight="1" x14ac:dyDescent="0.3"/>
    <row r="1592" ht="20.05" customHeight="1" x14ac:dyDescent="0.3"/>
    <row r="1593" ht="20.05" customHeight="1" x14ac:dyDescent="0.3"/>
    <row r="1594" ht="20.05" customHeight="1" x14ac:dyDescent="0.3"/>
    <row r="1595" ht="20.05" customHeight="1" x14ac:dyDescent="0.3"/>
    <row r="1596" ht="20.05" customHeight="1" x14ac:dyDescent="0.3"/>
    <row r="1597" ht="20.05" customHeight="1" x14ac:dyDescent="0.3"/>
    <row r="1598" ht="20.05" customHeight="1" x14ac:dyDescent="0.3"/>
    <row r="1599" ht="20.05" customHeight="1" x14ac:dyDescent="0.3"/>
    <row r="1600" ht="20.05" customHeight="1" x14ac:dyDescent="0.3"/>
    <row r="1601" ht="20.05" customHeight="1" x14ac:dyDescent="0.3"/>
    <row r="1602" ht="20.05" customHeight="1" x14ac:dyDescent="0.3"/>
    <row r="1603" ht="20.05" customHeight="1" x14ac:dyDescent="0.3"/>
    <row r="1604" ht="20.05" customHeight="1" x14ac:dyDescent="0.3"/>
    <row r="1605" ht="20.05" customHeight="1" x14ac:dyDescent="0.3"/>
    <row r="1606" ht="20.05" customHeight="1" x14ac:dyDescent="0.3"/>
    <row r="1607" ht="20.05" customHeight="1" x14ac:dyDescent="0.3"/>
    <row r="1608" ht="20.05" customHeight="1" x14ac:dyDescent="0.3"/>
    <row r="1609" ht="20.05" customHeight="1" x14ac:dyDescent="0.3"/>
    <row r="1610" ht="20.05" customHeight="1" x14ac:dyDescent="0.3"/>
    <row r="1611" ht="20.05" customHeight="1" x14ac:dyDescent="0.3"/>
    <row r="1612" ht="20.05" customHeight="1" x14ac:dyDescent="0.3"/>
    <row r="1613" ht="20.05" customHeight="1" x14ac:dyDescent="0.3"/>
    <row r="1614" ht="20.05" customHeight="1" x14ac:dyDescent="0.3"/>
    <row r="1615" ht="20.05" customHeight="1" x14ac:dyDescent="0.3"/>
    <row r="1616" ht="20.05" customHeight="1" x14ac:dyDescent="0.3"/>
    <row r="1617" ht="20.05" customHeight="1" x14ac:dyDescent="0.3"/>
    <row r="1618" ht="20.05" customHeight="1" x14ac:dyDescent="0.3"/>
    <row r="1619" ht="20.05" customHeight="1" x14ac:dyDescent="0.3"/>
    <row r="1620" ht="20.05" customHeight="1" x14ac:dyDescent="0.3"/>
    <row r="1621" ht="20.05" customHeight="1" x14ac:dyDescent="0.3"/>
    <row r="1622" ht="20.05" customHeight="1" x14ac:dyDescent="0.3"/>
    <row r="1623" ht="20.05" customHeight="1" x14ac:dyDescent="0.3"/>
    <row r="1624" ht="20.05" customHeight="1" x14ac:dyDescent="0.3"/>
    <row r="1625" ht="20.05" customHeight="1" x14ac:dyDescent="0.3"/>
    <row r="1626" ht="20.05" customHeight="1" x14ac:dyDescent="0.3"/>
    <row r="1627" ht="20.05" customHeight="1" x14ac:dyDescent="0.3"/>
    <row r="1628" ht="20.05" customHeight="1" x14ac:dyDescent="0.3"/>
    <row r="1629" ht="20.05" customHeight="1" x14ac:dyDescent="0.3"/>
    <row r="1630" ht="20.05" customHeight="1" x14ac:dyDescent="0.3"/>
    <row r="1631" ht="20.05" customHeight="1" x14ac:dyDescent="0.3"/>
    <row r="1632" ht="20.05" customHeight="1" x14ac:dyDescent="0.3"/>
    <row r="1633" ht="20.05" customHeight="1" x14ac:dyDescent="0.3"/>
    <row r="1634" ht="20.05" customHeight="1" x14ac:dyDescent="0.3"/>
    <row r="1635" ht="20.05" customHeight="1" x14ac:dyDescent="0.3"/>
    <row r="1636" ht="20.05" customHeight="1" x14ac:dyDescent="0.3"/>
    <row r="1637" ht="20.05" customHeight="1" x14ac:dyDescent="0.3"/>
    <row r="1638" ht="20.05" customHeight="1" x14ac:dyDescent="0.3"/>
    <row r="1639" ht="20.05" customHeight="1" x14ac:dyDescent="0.3"/>
    <row r="1640" ht="20.05" customHeight="1" x14ac:dyDescent="0.3"/>
    <row r="1641" ht="20.05" customHeight="1" x14ac:dyDescent="0.3"/>
    <row r="1642" ht="20.05" customHeight="1" x14ac:dyDescent="0.3"/>
    <row r="1643" ht="20.05" customHeight="1" x14ac:dyDescent="0.3"/>
    <row r="1644" ht="20.05" customHeight="1" x14ac:dyDescent="0.3"/>
    <row r="1645" ht="20.05" customHeight="1" x14ac:dyDescent="0.3"/>
    <row r="1646" ht="20.05" customHeight="1" x14ac:dyDescent="0.3"/>
    <row r="1647" ht="20.05" customHeight="1" x14ac:dyDescent="0.3"/>
    <row r="1648" ht="20.05" customHeight="1" x14ac:dyDescent="0.3"/>
    <row r="1649" ht="20.05" customHeight="1" x14ac:dyDescent="0.3"/>
    <row r="1650" ht="20.05" customHeight="1" x14ac:dyDescent="0.3"/>
    <row r="1651" ht="20.05" customHeight="1" x14ac:dyDescent="0.3"/>
    <row r="1652" ht="20.05" customHeight="1" x14ac:dyDescent="0.3"/>
    <row r="1653" ht="20.05" customHeight="1" x14ac:dyDescent="0.3"/>
    <row r="1654" ht="20.05" customHeight="1" x14ac:dyDescent="0.3"/>
    <row r="1655" ht="20.05" customHeight="1" x14ac:dyDescent="0.3"/>
    <row r="1656" ht="20.05" customHeight="1" x14ac:dyDescent="0.3"/>
    <row r="1657" ht="20.05" customHeight="1" x14ac:dyDescent="0.3"/>
    <row r="1658" ht="20.05" customHeight="1" x14ac:dyDescent="0.3"/>
    <row r="1659" ht="20.05" customHeight="1" x14ac:dyDescent="0.3"/>
    <row r="1660" ht="20.05" customHeight="1" x14ac:dyDescent="0.3"/>
    <row r="1661" ht="20.05" customHeight="1" x14ac:dyDescent="0.3"/>
    <row r="1662" ht="20.05" customHeight="1" x14ac:dyDescent="0.3"/>
    <row r="1663" ht="20.05" customHeight="1" x14ac:dyDescent="0.3"/>
    <row r="1664" ht="20.05" customHeight="1" x14ac:dyDescent="0.3"/>
    <row r="1665" ht="20.05" customHeight="1" x14ac:dyDescent="0.3"/>
    <row r="1666" ht="20.05" customHeight="1" x14ac:dyDescent="0.3"/>
    <row r="1667" ht="20.05" customHeight="1" x14ac:dyDescent="0.3"/>
    <row r="1668" ht="20.05" customHeight="1" x14ac:dyDescent="0.3"/>
    <row r="1669" ht="20.05" customHeight="1" x14ac:dyDescent="0.3"/>
    <row r="1670" ht="20.05" customHeight="1" x14ac:dyDescent="0.3"/>
    <row r="1671" ht="20.05" customHeight="1" x14ac:dyDescent="0.3"/>
    <row r="1672" ht="20.05" customHeight="1" x14ac:dyDescent="0.3"/>
    <row r="1673" ht="20.05" customHeight="1" x14ac:dyDescent="0.3"/>
    <row r="1674" ht="20.05" customHeight="1" x14ac:dyDescent="0.3"/>
    <row r="1675" ht="20.05" customHeight="1" x14ac:dyDescent="0.3"/>
    <row r="1676" ht="20.05" customHeight="1" x14ac:dyDescent="0.3"/>
    <row r="1677" ht="20.05" customHeight="1" x14ac:dyDescent="0.3"/>
    <row r="1678" ht="20.05" customHeight="1" x14ac:dyDescent="0.3"/>
    <row r="1679" ht="20.05" customHeight="1" x14ac:dyDescent="0.3"/>
    <row r="1680" ht="20.05" customHeight="1" x14ac:dyDescent="0.3"/>
    <row r="1681" ht="20.05" customHeight="1" x14ac:dyDescent="0.3"/>
    <row r="1682" ht="20.05" customHeight="1" x14ac:dyDescent="0.3"/>
    <row r="1683" ht="20.05" customHeight="1" x14ac:dyDescent="0.3"/>
    <row r="1684" ht="20.05" customHeight="1" x14ac:dyDescent="0.3"/>
    <row r="1685" ht="20.05" customHeight="1" x14ac:dyDescent="0.3"/>
    <row r="1686" ht="20.05" customHeight="1" x14ac:dyDescent="0.3"/>
    <row r="1687" ht="20.05" customHeight="1" x14ac:dyDescent="0.3"/>
    <row r="1688" ht="20.05" customHeight="1" x14ac:dyDescent="0.3"/>
    <row r="1689" ht="20.05" customHeight="1" x14ac:dyDescent="0.3"/>
    <row r="1690" ht="20.05" customHeight="1" x14ac:dyDescent="0.3"/>
    <row r="1691" ht="20.05" customHeight="1" x14ac:dyDescent="0.3"/>
    <row r="1692" ht="20.05" customHeight="1" x14ac:dyDescent="0.3"/>
    <row r="1693" ht="20.05" customHeight="1" x14ac:dyDescent="0.3"/>
    <row r="1694" ht="20.05" customHeight="1" x14ac:dyDescent="0.3"/>
    <row r="1695" ht="20.05" customHeight="1" x14ac:dyDescent="0.3"/>
    <row r="1696" ht="20.05" customHeight="1" x14ac:dyDescent="0.3"/>
    <row r="1697" ht="20.05" customHeight="1" x14ac:dyDescent="0.3"/>
    <row r="1698" ht="20.05" customHeight="1" x14ac:dyDescent="0.3"/>
    <row r="1699" ht="20.05" customHeight="1" x14ac:dyDescent="0.3"/>
    <row r="1700" ht="20.05" customHeight="1" x14ac:dyDescent="0.3"/>
    <row r="1701" ht="20.05" customHeight="1" x14ac:dyDescent="0.3"/>
    <row r="1702" ht="20.05" customHeight="1" x14ac:dyDescent="0.3"/>
    <row r="1703" ht="20.05" customHeight="1" x14ac:dyDescent="0.3"/>
    <row r="1704" ht="20.05" customHeight="1" x14ac:dyDescent="0.3"/>
    <row r="1705" ht="20.05" customHeight="1" x14ac:dyDescent="0.3"/>
    <row r="1706" ht="20.05" customHeight="1" x14ac:dyDescent="0.3"/>
    <row r="1707" ht="20.05" customHeight="1" x14ac:dyDescent="0.3"/>
    <row r="1708" ht="20.05" customHeight="1" x14ac:dyDescent="0.3"/>
    <row r="1709" ht="20.05" customHeight="1" x14ac:dyDescent="0.3"/>
    <row r="1710" ht="20.05" customHeight="1" x14ac:dyDescent="0.3"/>
    <row r="1711" ht="20.05" customHeight="1" x14ac:dyDescent="0.3"/>
    <row r="1712" ht="20.05" customHeight="1" x14ac:dyDescent="0.3"/>
    <row r="1713" ht="20.05" customHeight="1" x14ac:dyDescent="0.3"/>
    <row r="1714" ht="20.05" customHeight="1" x14ac:dyDescent="0.3"/>
    <row r="1715" ht="20.05" customHeight="1" x14ac:dyDescent="0.3"/>
    <row r="1716" ht="20.05" customHeight="1" x14ac:dyDescent="0.3"/>
    <row r="1717" ht="20.05" customHeight="1" x14ac:dyDescent="0.3"/>
    <row r="1718" ht="20.05" customHeight="1" x14ac:dyDescent="0.3"/>
    <row r="1719" ht="20.05" customHeight="1" x14ac:dyDescent="0.3"/>
    <row r="1720" ht="20.05" customHeight="1" x14ac:dyDescent="0.3"/>
    <row r="1721" ht="20.05" customHeight="1" x14ac:dyDescent="0.3"/>
    <row r="1722" ht="20.05" customHeight="1" x14ac:dyDescent="0.3"/>
    <row r="1723" ht="20.05" customHeight="1" x14ac:dyDescent="0.3"/>
    <row r="1724" ht="20.05" customHeight="1" x14ac:dyDescent="0.3"/>
    <row r="1725" ht="20.05" customHeight="1" x14ac:dyDescent="0.3"/>
    <row r="1726" ht="20.05" customHeight="1" x14ac:dyDescent="0.3"/>
    <row r="1727" ht="20.05" customHeight="1" x14ac:dyDescent="0.3"/>
    <row r="1728" ht="20.05" customHeight="1" x14ac:dyDescent="0.3"/>
    <row r="1729" ht="20.05" customHeight="1" x14ac:dyDescent="0.3"/>
    <row r="1730" ht="20.05" customHeight="1" x14ac:dyDescent="0.3"/>
    <row r="1731" ht="20.05" customHeight="1" x14ac:dyDescent="0.3"/>
    <row r="1732" ht="20.05" customHeight="1" x14ac:dyDescent="0.3"/>
    <row r="1733" ht="20.05" customHeight="1" x14ac:dyDescent="0.3"/>
    <row r="1734" ht="20.05" customHeight="1" x14ac:dyDescent="0.3"/>
    <row r="1735" ht="20.05" customHeight="1" x14ac:dyDescent="0.3"/>
    <row r="1736" ht="20.05" customHeight="1" x14ac:dyDescent="0.3"/>
    <row r="1737" ht="20.05" customHeight="1" x14ac:dyDescent="0.3"/>
    <row r="1738" ht="20.05" customHeight="1" x14ac:dyDescent="0.3"/>
    <row r="1739" ht="20.05" customHeight="1" x14ac:dyDescent="0.3"/>
    <row r="1740" ht="20.05" customHeight="1" x14ac:dyDescent="0.3"/>
    <row r="1741" ht="20.05" customHeight="1" x14ac:dyDescent="0.3"/>
    <row r="1742" ht="20.05" customHeight="1" x14ac:dyDescent="0.3"/>
    <row r="1743" ht="20.05" customHeight="1" x14ac:dyDescent="0.3"/>
    <row r="1744" ht="20.05" customHeight="1" x14ac:dyDescent="0.3"/>
    <row r="1745" ht="20.05" customHeight="1" x14ac:dyDescent="0.3"/>
    <row r="1746" ht="20.05" customHeight="1" x14ac:dyDescent="0.3"/>
    <row r="1747" ht="20.05" customHeight="1" x14ac:dyDescent="0.3"/>
    <row r="1748" ht="20.05" customHeight="1" x14ac:dyDescent="0.3"/>
    <row r="1749" ht="20.05" customHeight="1" x14ac:dyDescent="0.3"/>
    <row r="1750" ht="20.05" customHeight="1" x14ac:dyDescent="0.3"/>
    <row r="1751" ht="20.05" customHeight="1" x14ac:dyDescent="0.3"/>
    <row r="1752" ht="20.05" customHeight="1" x14ac:dyDescent="0.3"/>
    <row r="1753" ht="20.05" customHeight="1" x14ac:dyDescent="0.3"/>
    <row r="1754" ht="20.05" customHeight="1" x14ac:dyDescent="0.3"/>
    <row r="1755" ht="20.05" customHeight="1" x14ac:dyDescent="0.3"/>
    <row r="1756" ht="20.05" customHeight="1" x14ac:dyDescent="0.3"/>
    <row r="1757" ht="20.05" customHeight="1" x14ac:dyDescent="0.3"/>
    <row r="1758" ht="20.05" customHeight="1" x14ac:dyDescent="0.3"/>
    <row r="1759" ht="20.05" customHeight="1" x14ac:dyDescent="0.3"/>
    <row r="1760" ht="20.05" customHeight="1" x14ac:dyDescent="0.3"/>
    <row r="1761" ht="20.05" customHeight="1" x14ac:dyDescent="0.3"/>
    <row r="1762" ht="20.05" customHeight="1" x14ac:dyDescent="0.3"/>
    <row r="1763" ht="20.05" customHeight="1" x14ac:dyDescent="0.3"/>
    <row r="1764" ht="20.05" customHeight="1" x14ac:dyDescent="0.3"/>
    <row r="1765" ht="20.05" customHeight="1" x14ac:dyDescent="0.3"/>
    <row r="1766" ht="20.05" customHeight="1" x14ac:dyDescent="0.3"/>
    <row r="1767" ht="20.05" customHeight="1" x14ac:dyDescent="0.3"/>
    <row r="1768" ht="20.05" customHeight="1" x14ac:dyDescent="0.3"/>
    <row r="1769" ht="20.05" customHeight="1" x14ac:dyDescent="0.3"/>
    <row r="1770" ht="20.05" customHeight="1" x14ac:dyDescent="0.3"/>
    <row r="1771" ht="20.05" customHeight="1" x14ac:dyDescent="0.3"/>
    <row r="1772" ht="20.05" customHeight="1" x14ac:dyDescent="0.3"/>
    <row r="1773" ht="20.05" customHeight="1" x14ac:dyDescent="0.3"/>
    <row r="1774" ht="20.05" customHeight="1" x14ac:dyDescent="0.3"/>
    <row r="1775" ht="20.05" customHeight="1" x14ac:dyDescent="0.3"/>
    <row r="1776" ht="20.05" customHeight="1" x14ac:dyDescent="0.3"/>
    <row r="1777" ht="20.05" customHeight="1" x14ac:dyDescent="0.3"/>
    <row r="1778" ht="20.05" customHeight="1" x14ac:dyDescent="0.3"/>
    <row r="1779" ht="20.05" customHeight="1" x14ac:dyDescent="0.3"/>
    <row r="1780" ht="20.05" customHeight="1" x14ac:dyDescent="0.3"/>
    <row r="1781" ht="20.05" customHeight="1" x14ac:dyDescent="0.3"/>
    <row r="1782" ht="20.05" customHeight="1" x14ac:dyDescent="0.3"/>
    <row r="1783" ht="20.05" customHeight="1" x14ac:dyDescent="0.3"/>
    <row r="1784" ht="20.05" customHeight="1" x14ac:dyDescent="0.3"/>
    <row r="1785" ht="20.05" customHeight="1" x14ac:dyDescent="0.3"/>
    <row r="1786" ht="20.05" customHeight="1" x14ac:dyDescent="0.3"/>
    <row r="1787" ht="20.05" customHeight="1" x14ac:dyDescent="0.3"/>
    <row r="1788" ht="20.05" customHeight="1" x14ac:dyDescent="0.3"/>
    <row r="1789" ht="20.05" customHeight="1" x14ac:dyDescent="0.3"/>
    <row r="1790" ht="20.05" customHeight="1" x14ac:dyDescent="0.3"/>
    <row r="1791" ht="20.05" customHeight="1" x14ac:dyDescent="0.3"/>
    <row r="1792" ht="20.05" customHeight="1" x14ac:dyDescent="0.3"/>
    <row r="1793" ht="20.05" customHeight="1" x14ac:dyDescent="0.3"/>
    <row r="1794" ht="20.05" customHeight="1" x14ac:dyDescent="0.3"/>
    <row r="1795" ht="20.05" customHeight="1" x14ac:dyDescent="0.3"/>
    <row r="1796" ht="20.05" customHeight="1" x14ac:dyDescent="0.3"/>
    <row r="1797" ht="20.05" customHeight="1" x14ac:dyDescent="0.3"/>
    <row r="1798" ht="20.05" customHeight="1" x14ac:dyDescent="0.3"/>
    <row r="1799" ht="20.05" customHeight="1" x14ac:dyDescent="0.3"/>
    <row r="1800" ht="20.05" customHeight="1" x14ac:dyDescent="0.3"/>
    <row r="1801" ht="20.05" customHeight="1" x14ac:dyDescent="0.3"/>
    <row r="1802" ht="20.05" customHeight="1" x14ac:dyDescent="0.3"/>
    <row r="1803" ht="20.05" customHeight="1" x14ac:dyDescent="0.3"/>
    <row r="1804" ht="20.05" customHeight="1" x14ac:dyDescent="0.3"/>
    <row r="1805" ht="20.05" customHeight="1" x14ac:dyDescent="0.3"/>
    <row r="1806" ht="20.05" customHeight="1" x14ac:dyDescent="0.3"/>
    <row r="1807" ht="20.05" customHeight="1" x14ac:dyDescent="0.3"/>
    <row r="1808" ht="20.05" customHeight="1" x14ac:dyDescent="0.3"/>
    <row r="1809" ht="20.05" customHeight="1" x14ac:dyDescent="0.3"/>
    <row r="1810" ht="20.05" customHeight="1" x14ac:dyDescent="0.3"/>
    <row r="1811" ht="20.05" customHeight="1" x14ac:dyDescent="0.3"/>
    <row r="1812" ht="20.05" customHeight="1" x14ac:dyDescent="0.3"/>
    <row r="1813" ht="20.05" customHeight="1" x14ac:dyDescent="0.3"/>
    <row r="1814" ht="20.05" customHeight="1" x14ac:dyDescent="0.3"/>
    <row r="1815" ht="20.05" customHeight="1" x14ac:dyDescent="0.3"/>
    <row r="1816" ht="20.05" customHeight="1" x14ac:dyDescent="0.3"/>
    <row r="1817" ht="20.05" customHeight="1" x14ac:dyDescent="0.3"/>
    <row r="1818" ht="20.05" customHeight="1" x14ac:dyDescent="0.3"/>
    <row r="1819" ht="20.05" customHeight="1" x14ac:dyDescent="0.3"/>
    <row r="1820" ht="20.05" customHeight="1" x14ac:dyDescent="0.3"/>
    <row r="1821" ht="20.05" customHeight="1" x14ac:dyDescent="0.3"/>
    <row r="1822" ht="20.05" customHeight="1" x14ac:dyDescent="0.3"/>
    <row r="1823" ht="20.05" customHeight="1" x14ac:dyDescent="0.3"/>
    <row r="1824" ht="20.05" customHeight="1" x14ac:dyDescent="0.3"/>
    <row r="1825" ht="20.05" customHeight="1" x14ac:dyDescent="0.3"/>
    <row r="1826" ht="20.05" customHeight="1" x14ac:dyDescent="0.3"/>
    <row r="1827" ht="20.05" customHeight="1" x14ac:dyDescent="0.3"/>
    <row r="1828" ht="20.05" customHeight="1" x14ac:dyDescent="0.3"/>
    <row r="1829" ht="20.05" customHeight="1" x14ac:dyDescent="0.3"/>
    <row r="1830" ht="20.05" customHeight="1" x14ac:dyDescent="0.3"/>
    <row r="1831" ht="20.05" customHeight="1" x14ac:dyDescent="0.3"/>
    <row r="1832" ht="20.05" customHeight="1" x14ac:dyDescent="0.3"/>
    <row r="1833" ht="20.05" customHeight="1" x14ac:dyDescent="0.3"/>
    <row r="1834" ht="20.05" customHeight="1" x14ac:dyDescent="0.3"/>
    <row r="1835" ht="20.05" customHeight="1" x14ac:dyDescent="0.3"/>
    <row r="1836" ht="20.05" customHeight="1" x14ac:dyDescent="0.3"/>
    <row r="1837" ht="20.05" customHeight="1" x14ac:dyDescent="0.3"/>
    <row r="1838" ht="20.05" customHeight="1" x14ac:dyDescent="0.3"/>
    <row r="1839" ht="20.05" customHeight="1" x14ac:dyDescent="0.3"/>
    <row r="1840" ht="20.05" customHeight="1" x14ac:dyDescent="0.3"/>
    <row r="1841" ht="20.05" customHeight="1" x14ac:dyDescent="0.3"/>
    <row r="1842" ht="20.05" customHeight="1" x14ac:dyDescent="0.3"/>
    <row r="1843" ht="20.05" customHeight="1" x14ac:dyDescent="0.3"/>
    <row r="1844" ht="20.05" customHeight="1" x14ac:dyDescent="0.3"/>
    <row r="1845" ht="20.05" customHeight="1" x14ac:dyDescent="0.3"/>
    <row r="1846" ht="20.05" customHeight="1" x14ac:dyDescent="0.3"/>
    <row r="1847" ht="20.05" customHeight="1" x14ac:dyDescent="0.3"/>
    <row r="1848" ht="20.05" customHeight="1" x14ac:dyDescent="0.3"/>
    <row r="1849" ht="20.05" customHeight="1" x14ac:dyDescent="0.3"/>
    <row r="1850" ht="20.05" customHeight="1" x14ac:dyDescent="0.3"/>
    <row r="1851" ht="20.05" customHeight="1" x14ac:dyDescent="0.3"/>
    <row r="1852" ht="20.05" customHeight="1" x14ac:dyDescent="0.3"/>
    <row r="1853" ht="20.05" customHeight="1" x14ac:dyDescent="0.3"/>
    <row r="1854" ht="20.05" customHeight="1" x14ac:dyDescent="0.3"/>
    <row r="1855" ht="20.05" customHeight="1" x14ac:dyDescent="0.3"/>
    <row r="1856" ht="20.05" customHeight="1" x14ac:dyDescent="0.3"/>
    <row r="1857" ht="20.05" customHeight="1" x14ac:dyDescent="0.3"/>
    <row r="1858" ht="20.05" customHeight="1" x14ac:dyDescent="0.3"/>
    <row r="1859" ht="20.05" customHeight="1" x14ac:dyDescent="0.3"/>
    <row r="1860" ht="20.05" customHeight="1" x14ac:dyDescent="0.3"/>
    <row r="1861" ht="20.05" customHeight="1" x14ac:dyDescent="0.3"/>
    <row r="1862" ht="20.05" customHeight="1" x14ac:dyDescent="0.3"/>
    <row r="1863" ht="20.05" customHeight="1" x14ac:dyDescent="0.3"/>
    <row r="1864" ht="20.05" customHeight="1" x14ac:dyDescent="0.3"/>
    <row r="1865" ht="20.05" customHeight="1" x14ac:dyDescent="0.3"/>
    <row r="1866" ht="20.05" customHeight="1" x14ac:dyDescent="0.3"/>
    <row r="1867" ht="20.05" customHeight="1" x14ac:dyDescent="0.3"/>
    <row r="1868" ht="20.05" customHeight="1" x14ac:dyDescent="0.3"/>
    <row r="1869" ht="20.05" customHeight="1" x14ac:dyDescent="0.3"/>
    <row r="1870" ht="20.05" customHeight="1" x14ac:dyDescent="0.3"/>
    <row r="1871" ht="20.05" customHeight="1" x14ac:dyDescent="0.3"/>
    <row r="1872" ht="20.05" customHeight="1" x14ac:dyDescent="0.3"/>
    <row r="1873" ht="20.05" customHeight="1" x14ac:dyDescent="0.3"/>
    <row r="1874" ht="20.05" customHeight="1" x14ac:dyDescent="0.3"/>
    <row r="1875" ht="20.05" customHeight="1" x14ac:dyDescent="0.3"/>
    <row r="1876" ht="20.05" customHeight="1" x14ac:dyDescent="0.3"/>
    <row r="1877" ht="20.05" customHeight="1" x14ac:dyDescent="0.3"/>
    <row r="1878" ht="20.05" customHeight="1" x14ac:dyDescent="0.3"/>
    <row r="1879" ht="20.05" customHeight="1" x14ac:dyDescent="0.3"/>
    <row r="1880" ht="20.05" customHeight="1" x14ac:dyDescent="0.3"/>
    <row r="1881" ht="20.05" customHeight="1" x14ac:dyDescent="0.3"/>
    <row r="1882" ht="20.05" customHeight="1" x14ac:dyDescent="0.3"/>
    <row r="1883" ht="20.05" customHeight="1" x14ac:dyDescent="0.3"/>
    <row r="1884" ht="20.05" customHeight="1" x14ac:dyDescent="0.3"/>
    <row r="1885" ht="20.05" customHeight="1" x14ac:dyDescent="0.3"/>
    <row r="1886" ht="20.05" customHeight="1" x14ac:dyDescent="0.3"/>
    <row r="1887" ht="20.05" customHeight="1" x14ac:dyDescent="0.3"/>
    <row r="1888" ht="20.05" customHeight="1" x14ac:dyDescent="0.3"/>
    <row r="1889" ht="20.05" customHeight="1" x14ac:dyDescent="0.3"/>
    <row r="1890" ht="20.05" customHeight="1" x14ac:dyDescent="0.3"/>
    <row r="1891" ht="20.05" customHeight="1" x14ac:dyDescent="0.3"/>
    <row r="1892" ht="20.05" customHeight="1" x14ac:dyDescent="0.3"/>
    <row r="1893" ht="20.05" customHeight="1" x14ac:dyDescent="0.3"/>
    <row r="1894" ht="20.05" customHeight="1" x14ac:dyDescent="0.3"/>
    <row r="1895" ht="20.05" customHeight="1" x14ac:dyDescent="0.3"/>
    <row r="1896" ht="20.05" customHeight="1" x14ac:dyDescent="0.3"/>
    <row r="1897" ht="20.05" customHeight="1" x14ac:dyDescent="0.3"/>
    <row r="1898" ht="20.05" customHeight="1" x14ac:dyDescent="0.3"/>
    <row r="1899" ht="20.05" customHeight="1" x14ac:dyDescent="0.3"/>
    <row r="1900" ht="20.05" customHeight="1" x14ac:dyDescent="0.3"/>
    <row r="1901" ht="20.05" customHeight="1" x14ac:dyDescent="0.3"/>
    <row r="1902" ht="20.05" customHeight="1" x14ac:dyDescent="0.3"/>
    <row r="1903" ht="20.05" customHeight="1" x14ac:dyDescent="0.3"/>
    <row r="1904" ht="20.05" customHeight="1" x14ac:dyDescent="0.3"/>
    <row r="1905" ht="20.05" customHeight="1" x14ac:dyDescent="0.3"/>
    <row r="1906" ht="20.05" customHeight="1" x14ac:dyDescent="0.3"/>
    <row r="1907" ht="20.05" customHeight="1" x14ac:dyDescent="0.3"/>
    <row r="1908" ht="20.05" customHeight="1" x14ac:dyDescent="0.3"/>
    <row r="1909" ht="20.05" customHeight="1" x14ac:dyDescent="0.3"/>
    <row r="1910" ht="20.05" customHeight="1" x14ac:dyDescent="0.3"/>
    <row r="1911" ht="20.05" customHeight="1" x14ac:dyDescent="0.3"/>
    <row r="1912" ht="20.05" customHeight="1" x14ac:dyDescent="0.3"/>
    <row r="1913" ht="20.05" customHeight="1" x14ac:dyDescent="0.3"/>
    <row r="1914" ht="20.05" customHeight="1" x14ac:dyDescent="0.3"/>
    <row r="1915" ht="20.05" customHeight="1" x14ac:dyDescent="0.3"/>
    <row r="1916" ht="20.05" customHeight="1" x14ac:dyDescent="0.3"/>
    <row r="1917" ht="20.05" customHeight="1" x14ac:dyDescent="0.3"/>
    <row r="1918" ht="20.05" customHeight="1" x14ac:dyDescent="0.3"/>
    <row r="1919" ht="20.05" customHeight="1" x14ac:dyDescent="0.3"/>
    <row r="1920" ht="20.05" customHeight="1" x14ac:dyDescent="0.3"/>
    <row r="1921" ht="20.05" customHeight="1" x14ac:dyDescent="0.3"/>
    <row r="1922" ht="20.05" customHeight="1" x14ac:dyDescent="0.3"/>
    <row r="1923" ht="20.05" customHeight="1" x14ac:dyDescent="0.3"/>
    <row r="1924" ht="20.05" customHeight="1" x14ac:dyDescent="0.3"/>
    <row r="1925" ht="20.05" customHeight="1" x14ac:dyDescent="0.3"/>
    <row r="1926" ht="20.05" customHeight="1" x14ac:dyDescent="0.3"/>
    <row r="1927" ht="20.05" customHeight="1" x14ac:dyDescent="0.3"/>
    <row r="1928" ht="20.05" customHeight="1" x14ac:dyDescent="0.3"/>
    <row r="1929" ht="20.05" customHeight="1" x14ac:dyDescent="0.3"/>
    <row r="1930" ht="20.05" customHeight="1" x14ac:dyDescent="0.3"/>
    <row r="1931" ht="20.05" customHeight="1" x14ac:dyDescent="0.3"/>
    <row r="1932" ht="20.05" customHeight="1" x14ac:dyDescent="0.3"/>
    <row r="1933" ht="20.05" customHeight="1" x14ac:dyDescent="0.3"/>
    <row r="1934" ht="20.05" customHeight="1" x14ac:dyDescent="0.3"/>
    <row r="1935" ht="20.05" customHeight="1" x14ac:dyDescent="0.3"/>
    <row r="1936" ht="20.05" customHeight="1" x14ac:dyDescent="0.3"/>
    <row r="1937" ht="20.05" customHeight="1" x14ac:dyDescent="0.3"/>
    <row r="1938" ht="20.05" customHeight="1" x14ac:dyDescent="0.3"/>
    <row r="1939" ht="20.05" customHeight="1" x14ac:dyDescent="0.3"/>
    <row r="1940" ht="20.05" customHeight="1" x14ac:dyDescent="0.3"/>
    <row r="1941" ht="20.05" customHeight="1" x14ac:dyDescent="0.3"/>
    <row r="1942" ht="20.05" customHeight="1" x14ac:dyDescent="0.3"/>
    <row r="1943" ht="20.05" customHeight="1" x14ac:dyDescent="0.3"/>
    <row r="1944" ht="20.05" customHeight="1" x14ac:dyDescent="0.3"/>
    <row r="1945" ht="20.05" customHeight="1" x14ac:dyDescent="0.3"/>
    <row r="1946" ht="20.05" customHeight="1" x14ac:dyDescent="0.3"/>
    <row r="1947" ht="20.05" customHeight="1" x14ac:dyDescent="0.3"/>
    <row r="1948" ht="20.05" customHeight="1" x14ac:dyDescent="0.3"/>
    <row r="1949" ht="20.05" customHeight="1" x14ac:dyDescent="0.3"/>
    <row r="1950" ht="20.05" customHeight="1" x14ac:dyDescent="0.3"/>
    <row r="1951" ht="20.05" customHeight="1" x14ac:dyDescent="0.3"/>
    <row r="1952" ht="20.05" customHeight="1" x14ac:dyDescent="0.3"/>
    <row r="1953" ht="20.05" customHeight="1" x14ac:dyDescent="0.3"/>
    <row r="1954" ht="20.05" customHeight="1" x14ac:dyDescent="0.3"/>
    <row r="1955" ht="20.05" customHeight="1" x14ac:dyDescent="0.3"/>
    <row r="1956" ht="20.05" customHeight="1" x14ac:dyDescent="0.3"/>
    <row r="1957" ht="20.05" customHeight="1" x14ac:dyDescent="0.3"/>
    <row r="1958" ht="20.05" customHeight="1" x14ac:dyDescent="0.3"/>
    <row r="1959" ht="20.05" customHeight="1" x14ac:dyDescent="0.3"/>
    <row r="1960" ht="20.05" customHeight="1" x14ac:dyDescent="0.3"/>
    <row r="1961" ht="20.05" customHeight="1" x14ac:dyDescent="0.3"/>
    <row r="1962" ht="20.05" customHeight="1" x14ac:dyDescent="0.3"/>
    <row r="1963" ht="20.05" customHeight="1" x14ac:dyDescent="0.3"/>
    <row r="1964" ht="20.05" customHeight="1" x14ac:dyDescent="0.3"/>
    <row r="1965" ht="20.05" customHeight="1" x14ac:dyDescent="0.3"/>
    <row r="1966" ht="20.05" customHeight="1" x14ac:dyDescent="0.3"/>
    <row r="1967" ht="20.05" customHeight="1" x14ac:dyDescent="0.3"/>
    <row r="1968" ht="20.05" customHeight="1" x14ac:dyDescent="0.3"/>
    <row r="1969" ht="20.05" customHeight="1" x14ac:dyDescent="0.3"/>
    <row r="1970" ht="20.05" customHeight="1" x14ac:dyDescent="0.3"/>
    <row r="1971" ht="20.05" customHeight="1" x14ac:dyDescent="0.3"/>
    <row r="1972" ht="20.05" customHeight="1" x14ac:dyDescent="0.3"/>
    <row r="1973" ht="20.05" customHeight="1" x14ac:dyDescent="0.3"/>
    <row r="1974" ht="20.05" customHeight="1" x14ac:dyDescent="0.3"/>
    <row r="1975" ht="20.05" customHeight="1" x14ac:dyDescent="0.3"/>
    <row r="1976" ht="20.05" customHeight="1" x14ac:dyDescent="0.3"/>
    <row r="1977" ht="20.05" customHeight="1" x14ac:dyDescent="0.3"/>
    <row r="1978" ht="20.05" customHeight="1" x14ac:dyDescent="0.3"/>
    <row r="1979" ht="20.05" customHeight="1" x14ac:dyDescent="0.3"/>
    <row r="1980" ht="20.05" customHeight="1" x14ac:dyDescent="0.3"/>
    <row r="1981" ht="20.05" customHeight="1" x14ac:dyDescent="0.3"/>
    <row r="1982" ht="20.05" customHeight="1" x14ac:dyDescent="0.3"/>
    <row r="1983" ht="20.05" customHeight="1" x14ac:dyDescent="0.3"/>
    <row r="1984" ht="20.05" customHeight="1" x14ac:dyDescent="0.3"/>
    <row r="1985" ht="20.05" customHeight="1" x14ac:dyDescent="0.3"/>
    <row r="1986" ht="20.05" customHeight="1" x14ac:dyDescent="0.3"/>
    <row r="1987" ht="20.05" customHeight="1" x14ac:dyDescent="0.3"/>
    <row r="1988" ht="20.05" customHeight="1" x14ac:dyDescent="0.3"/>
    <row r="1989" ht="20.05" customHeight="1" x14ac:dyDescent="0.3"/>
    <row r="1990" ht="20.05" customHeight="1" x14ac:dyDescent="0.3"/>
    <row r="1991" ht="20.05" customHeight="1" x14ac:dyDescent="0.3"/>
    <row r="1992" ht="20.05" customHeight="1" x14ac:dyDescent="0.3"/>
    <row r="1993" ht="20.05" customHeight="1" x14ac:dyDescent="0.3"/>
    <row r="1994" ht="20.05" customHeight="1" x14ac:dyDescent="0.3"/>
    <row r="1995" ht="20.05" customHeight="1" x14ac:dyDescent="0.3"/>
    <row r="1996" ht="20.05" customHeight="1" x14ac:dyDescent="0.3"/>
    <row r="1997" ht="20.05" customHeight="1" x14ac:dyDescent="0.3"/>
    <row r="1998" ht="20.05" customHeight="1" x14ac:dyDescent="0.3"/>
    <row r="1999" ht="20.05" customHeight="1" x14ac:dyDescent="0.3"/>
    <row r="2000" ht="20.05" customHeight="1" x14ac:dyDescent="0.3"/>
    <row r="2001" ht="20.05" customHeight="1" x14ac:dyDescent="0.3"/>
    <row r="2002" ht="20.05" customHeight="1" x14ac:dyDescent="0.3"/>
    <row r="2003" ht="20.05" customHeight="1" x14ac:dyDescent="0.3"/>
    <row r="2004" ht="20.05" customHeight="1" x14ac:dyDescent="0.3"/>
    <row r="2005" ht="20.05" customHeight="1" x14ac:dyDescent="0.3"/>
    <row r="2006" ht="20.05" customHeight="1" x14ac:dyDescent="0.3"/>
    <row r="2007" ht="20.05" customHeight="1" x14ac:dyDescent="0.3"/>
    <row r="2008" ht="20.05" customHeight="1" x14ac:dyDescent="0.3"/>
    <row r="2009" ht="20.05" customHeight="1" x14ac:dyDescent="0.3"/>
    <row r="2010" ht="20.05" customHeight="1" x14ac:dyDescent="0.3"/>
    <row r="2011" ht="20.05" customHeight="1" x14ac:dyDescent="0.3"/>
    <row r="2012" ht="20.05" customHeight="1" x14ac:dyDescent="0.3"/>
    <row r="2013" ht="20.05" customHeight="1" x14ac:dyDescent="0.3"/>
    <row r="2014" ht="20.05" customHeight="1" x14ac:dyDescent="0.3"/>
    <row r="2015" ht="20.05" customHeight="1" x14ac:dyDescent="0.3"/>
    <row r="2016" ht="20.05" customHeight="1" x14ac:dyDescent="0.3"/>
    <row r="2017" ht="20.05" customHeight="1" x14ac:dyDescent="0.3"/>
    <row r="2018" ht="20.05" customHeight="1" x14ac:dyDescent="0.3"/>
    <row r="2019" ht="20.05" customHeight="1" x14ac:dyDescent="0.3"/>
    <row r="2020" ht="20.05" customHeight="1" x14ac:dyDescent="0.3"/>
    <row r="2021" ht="20.05" customHeight="1" x14ac:dyDescent="0.3"/>
    <row r="2022" ht="20.05" customHeight="1" x14ac:dyDescent="0.3"/>
    <row r="2023" ht="20.05" customHeight="1" x14ac:dyDescent="0.3"/>
    <row r="2024" ht="20.05" customHeight="1" x14ac:dyDescent="0.3"/>
    <row r="2025" ht="20.05" customHeight="1" x14ac:dyDescent="0.3"/>
    <row r="2026" ht="20.05" customHeight="1" x14ac:dyDescent="0.3"/>
    <row r="2027" ht="20.05" customHeight="1" x14ac:dyDescent="0.3"/>
    <row r="2028" ht="20.05" customHeight="1" x14ac:dyDescent="0.3"/>
    <row r="2029" ht="20.05" customHeight="1" x14ac:dyDescent="0.3"/>
    <row r="2030" ht="20.05" customHeight="1" x14ac:dyDescent="0.3"/>
    <row r="2031" ht="20.05" customHeight="1" x14ac:dyDescent="0.3"/>
    <row r="2032" ht="20.05" customHeight="1" x14ac:dyDescent="0.3"/>
    <row r="2033" ht="20.05" customHeight="1" x14ac:dyDescent="0.3"/>
    <row r="2034" ht="20.05" customHeight="1" x14ac:dyDescent="0.3"/>
    <row r="2035" ht="20.05" customHeight="1" x14ac:dyDescent="0.3"/>
    <row r="2036" ht="20.05" customHeight="1" x14ac:dyDescent="0.3"/>
    <row r="2037" ht="20.05" customHeight="1" x14ac:dyDescent="0.3"/>
    <row r="2038" ht="20.05" customHeight="1" x14ac:dyDescent="0.3"/>
    <row r="2039" ht="20.05" customHeight="1" x14ac:dyDescent="0.3"/>
    <row r="2040" ht="20.05" customHeight="1" x14ac:dyDescent="0.3"/>
    <row r="2041" ht="20.05" customHeight="1" x14ac:dyDescent="0.3"/>
    <row r="2042" ht="20.05" customHeight="1" x14ac:dyDescent="0.3"/>
    <row r="2043" ht="20.05" customHeight="1" x14ac:dyDescent="0.3"/>
    <row r="2044" ht="20.05" customHeight="1" x14ac:dyDescent="0.3"/>
    <row r="2045" ht="20.05" customHeight="1" x14ac:dyDescent="0.3"/>
    <row r="2046" ht="20.05" customHeight="1" x14ac:dyDescent="0.3"/>
    <row r="2047" ht="20.05" customHeight="1" x14ac:dyDescent="0.3"/>
    <row r="2048" ht="20.05" customHeight="1" x14ac:dyDescent="0.3"/>
    <row r="2049" ht="20.05" customHeight="1" x14ac:dyDescent="0.3"/>
    <row r="2050" ht="20.05" customHeight="1" x14ac:dyDescent="0.3"/>
    <row r="2051" ht="20.05" customHeight="1" x14ac:dyDescent="0.3"/>
    <row r="2052" ht="20.05" customHeight="1" x14ac:dyDescent="0.3"/>
    <row r="2053" ht="20.05" customHeight="1" x14ac:dyDescent="0.3"/>
    <row r="2054" ht="20.05" customHeight="1" x14ac:dyDescent="0.3"/>
    <row r="2055" ht="20.05" customHeight="1" x14ac:dyDescent="0.3"/>
    <row r="2056" ht="20.05" customHeight="1" x14ac:dyDescent="0.3"/>
    <row r="2057" ht="20.05" customHeight="1" x14ac:dyDescent="0.3"/>
    <row r="2058" ht="20.05" customHeight="1" x14ac:dyDescent="0.3"/>
    <row r="2059" ht="20.05" customHeight="1" x14ac:dyDescent="0.3"/>
    <row r="2060" ht="20.05" customHeight="1" x14ac:dyDescent="0.3"/>
    <row r="2061" ht="20.05" customHeight="1" x14ac:dyDescent="0.3"/>
    <row r="2062" ht="20.05" customHeight="1" x14ac:dyDescent="0.3"/>
    <row r="2063" ht="20.05" customHeight="1" x14ac:dyDescent="0.3"/>
    <row r="2064" ht="20.05" customHeight="1" x14ac:dyDescent="0.3"/>
    <row r="2065" ht="20.05" customHeight="1" x14ac:dyDescent="0.3"/>
    <row r="2066" ht="20.05" customHeight="1" x14ac:dyDescent="0.3"/>
    <row r="2067" ht="20.05" customHeight="1" x14ac:dyDescent="0.3"/>
    <row r="2068" ht="20.05" customHeight="1" x14ac:dyDescent="0.3"/>
    <row r="2069" ht="20.05" customHeight="1" x14ac:dyDescent="0.3"/>
    <row r="2070" ht="20.05" customHeight="1" x14ac:dyDescent="0.3"/>
    <row r="2071" ht="20.05" customHeight="1" x14ac:dyDescent="0.3"/>
    <row r="2072" ht="20.05" customHeight="1" x14ac:dyDescent="0.3"/>
    <row r="2073" ht="20.05" customHeight="1" x14ac:dyDescent="0.3"/>
    <row r="2074" ht="20.05" customHeight="1" x14ac:dyDescent="0.3"/>
    <row r="2075" ht="20.05" customHeight="1" x14ac:dyDescent="0.3"/>
    <row r="2076" ht="20.05" customHeight="1" x14ac:dyDescent="0.3"/>
    <row r="2077" ht="20.05" customHeight="1" x14ac:dyDescent="0.3"/>
    <row r="2078" ht="20.05" customHeight="1" x14ac:dyDescent="0.3"/>
    <row r="2079" ht="20.05" customHeight="1" x14ac:dyDescent="0.3"/>
    <row r="2080" ht="20.05" customHeight="1" x14ac:dyDescent="0.3"/>
    <row r="2081" ht="20.05" customHeight="1" x14ac:dyDescent="0.3"/>
    <row r="2082" ht="20.05" customHeight="1" x14ac:dyDescent="0.3"/>
    <row r="2083" ht="20.05" customHeight="1" x14ac:dyDescent="0.3"/>
    <row r="2084" ht="20.05" customHeight="1" x14ac:dyDescent="0.3"/>
    <row r="2085" ht="20.05" customHeight="1" x14ac:dyDescent="0.3"/>
    <row r="2086" ht="20.05" customHeight="1" x14ac:dyDescent="0.3"/>
    <row r="2087" ht="20.05" customHeight="1" x14ac:dyDescent="0.3"/>
    <row r="2088" ht="20.05" customHeight="1" x14ac:dyDescent="0.3"/>
    <row r="2089" ht="20.05" customHeight="1" x14ac:dyDescent="0.3"/>
    <row r="2090" ht="20.05" customHeight="1" x14ac:dyDescent="0.3"/>
    <row r="2091" ht="20.05" customHeight="1" x14ac:dyDescent="0.3"/>
    <row r="2092" ht="20.05" customHeight="1" x14ac:dyDescent="0.3"/>
    <row r="2093" ht="20.05" customHeight="1" x14ac:dyDescent="0.3"/>
    <row r="2094" ht="20.05" customHeight="1" x14ac:dyDescent="0.3"/>
    <row r="2095" ht="20.05" customHeight="1" x14ac:dyDescent="0.3"/>
    <row r="2096" ht="20.05" customHeight="1" x14ac:dyDescent="0.3"/>
    <row r="2097" ht="20.05" customHeight="1" x14ac:dyDescent="0.3"/>
    <row r="2098" ht="20.05" customHeight="1" x14ac:dyDescent="0.3"/>
    <row r="2099" ht="20.05" customHeight="1" x14ac:dyDescent="0.3"/>
    <row r="2100" ht="20.05" customHeight="1" x14ac:dyDescent="0.3"/>
    <row r="2101" ht="20.05" customHeight="1" x14ac:dyDescent="0.3"/>
    <row r="2102" ht="20.05" customHeight="1" x14ac:dyDescent="0.3"/>
    <row r="2103" ht="20.05" customHeight="1" x14ac:dyDescent="0.3"/>
    <row r="2104" ht="20.05" customHeight="1" x14ac:dyDescent="0.3"/>
    <row r="2105" ht="20.05" customHeight="1" x14ac:dyDescent="0.3"/>
    <row r="2106" ht="20.05" customHeight="1" x14ac:dyDescent="0.3"/>
    <row r="2107" ht="20.05" customHeight="1" x14ac:dyDescent="0.3"/>
    <row r="2108" ht="20.05" customHeight="1" x14ac:dyDescent="0.3"/>
    <row r="2109" ht="20.05" customHeight="1" x14ac:dyDescent="0.3"/>
    <row r="2110" ht="20.05" customHeight="1" x14ac:dyDescent="0.3"/>
    <row r="2111" ht="20.05" customHeight="1" x14ac:dyDescent="0.3"/>
    <row r="2112" ht="20.05" customHeight="1" x14ac:dyDescent="0.3"/>
    <row r="2113" ht="20.05" customHeight="1" x14ac:dyDescent="0.3"/>
    <row r="2114" ht="20.05" customHeight="1" x14ac:dyDescent="0.3"/>
    <row r="2115" ht="20.05" customHeight="1" x14ac:dyDescent="0.3"/>
    <row r="2116" ht="20.05" customHeight="1" x14ac:dyDescent="0.3"/>
    <row r="2117" ht="20.05" customHeight="1" x14ac:dyDescent="0.3"/>
    <row r="2118" ht="20.05" customHeight="1" x14ac:dyDescent="0.3"/>
    <row r="2119" ht="20.05" customHeight="1" x14ac:dyDescent="0.3"/>
    <row r="2120" ht="20.05" customHeight="1" x14ac:dyDescent="0.3"/>
    <row r="2121" ht="20.05" customHeight="1" x14ac:dyDescent="0.3"/>
    <row r="2122" ht="20.05" customHeight="1" x14ac:dyDescent="0.3"/>
    <row r="2123" ht="20.05" customHeight="1" x14ac:dyDescent="0.3"/>
    <row r="2124" ht="20.05" customHeight="1" x14ac:dyDescent="0.3"/>
    <row r="2125" ht="20.05" customHeight="1" x14ac:dyDescent="0.3"/>
    <row r="2126" ht="20.05" customHeight="1" x14ac:dyDescent="0.3"/>
    <row r="2127" ht="20.05" customHeight="1" x14ac:dyDescent="0.3"/>
    <row r="2128" ht="20.05" customHeight="1" x14ac:dyDescent="0.3"/>
    <row r="2129" ht="20.05" customHeight="1" x14ac:dyDescent="0.3"/>
    <row r="2130" ht="20.05" customHeight="1" x14ac:dyDescent="0.3"/>
    <row r="2131" ht="20.05" customHeight="1" x14ac:dyDescent="0.3"/>
    <row r="2132" ht="20.05" customHeight="1" x14ac:dyDescent="0.3"/>
    <row r="2133" ht="20.05" customHeight="1" x14ac:dyDescent="0.3"/>
    <row r="2134" ht="20.05" customHeight="1" x14ac:dyDescent="0.3"/>
    <row r="2135" ht="20.05" customHeight="1" x14ac:dyDescent="0.3"/>
    <row r="2136" ht="20.05" customHeight="1" x14ac:dyDescent="0.3"/>
    <row r="2137" ht="20.05" customHeight="1" x14ac:dyDescent="0.3"/>
    <row r="2138" ht="20.05" customHeight="1" x14ac:dyDescent="0.3"/>
    <row r="2139" ht="20.05" customHeight="1" x14ac:dyDescent="0.3"/>
    <row r="2140" ht="20.05" customHeight="1" x14ac:dyDescent="0.3"/>
    <row r="2141" ht="20.05" customHeight="1" x14ac:dyDescent="0.3"/>
    <row r="2142" ht="20.05" customHeight="1" x14ac:dyDescent="0.3"/>
    <row r="2143" ht="20.05" customHeight="1" x14ac:dyDescent="0.3"/>
    <row r="2144" ht="20.05" customHeight="1" x14ac:dyDescent="0.3"/>
    <row r="2145" ht="20.05" customHeight="1" x14ac:dyDescent="0.3"/>
    <row r="2146" ht="20.05" customHeight="1" x14ac:dyDescent="0.3"/>
    <row r="2147" ht="20.05" customHeight="1" x14ac:dyDescent="0.3"/>
    <row r="2148" ht="20.05" customHeight="1" x14ac:dyDescent="0.3"/>
    <row r="2149" ht="20.05" customHeight="1" x14ac:dyDescent="0.3"/>
    <row r="2150" ht="20.05" customHeight="1" x14ac:dyDescent="0.3"/>
    <row r="2151" ht="20.05" customHeight="1" x14ac:dyDescent="0.3"/>
    <row r="2152" ht="20.05" customHeight="1" x14ac:dyDescent="0.3"/>
    <row r="2153" ht="20.05" customHeight="1" x14ac:dyDescent="0.3"/>
    <row r="2154" ht="20.05" customHeight="1" x14ac:dyDescent="0.3"/>
    <row r="2155" ht="20.05" customHeight="1" x14ac:dyDescent="0.3"/>
    <row r="2156" ht="20.05" customHeight="1" x14ac:dyDescent="0.3"/>
    <row r="2157" ht="20.05" customHeight="1" x14ac:dyDescent="0.3"/>
    <row r="2158" ht="20.05" customHeight="1" x14ac:dyDescent="0.3"/>
    <row r="2159" ht="20.05" customHeight="1" x14ac:dyDescent="0.3"/>
    <row r="2160" ht="20.05" customHeight="1" x14ac:dyDescent="0.3"/>
    <row r="2161" ht="20.05" customHeight="1" x14ac:dyDescent="0.3"/>
    <row r="2162" ht="20.05" customHeight="1" x14ac:dyDescent="0.3"/>
    <row r="2163" ht="20.05" customHeight="1" x14ac:dyDescent="0.3"/>
    <row r="2164" ht="20.05" customHeight="1" x14ac:dyDescent="0.3"/>
    <row r="2165" ht="20.05" customHeight="1" x14ac:dyDescent="0.3"/>
    <row r="2166" ht="20.05" customHeight="1" x14ac:dyDescent="0.3"/>
    <row r="2167" ht="20.05" customHeight="1" x14ac:dyDescent="0.3"/>
    <row r="2168" ht="20.05" customHeight="1" x14ac:dyDescent="0.3"/>
    <row r="2169" ht="20.05" customHeight="1" x14ac:dyDescent="0.3"/>
    <row r="2170" ht="20.05" customHeight="1" x14ac:dyDescent="0.3"/>
    <row r="2171" ht="20.05" customHeight="1" x14ac:dyDescent="0.3"/>
    <row r="2172" ht="20.05" customHeight="1" x14ac:dyDescent="0.3"/>
    <row r="2173" ht="20.05" customHeight="1" x14ac:dyDescent="0.3"/>
    <row r="2174" ht="20.05" customHeight="1" x14ac:dyDescent="0.3"/>
    <row r="2175" ht="20.05" customHeight="1" x14ac:dyDescent="0.3"/>
    <row r="2176" ht="20.05" customHeight="1" x14ac:dyDescent="0.3"/>
    <row r="2177" ht="20.05" customHeight="1" x14ac:dyDescent="0.3"/>
    <row r="2178" ht="20.05" customHeight="1" x14ac:dyDescent="0.3"/>
    <row r="2179" ht="20.05" customHeight="1" x14ac:dyDescent="0.3"/>
    <row r="2180" ht="20.05" customHeight="1" x14ac:dyDescent="0.3"/>
    <row r="2181" ht="20.05" customHeight="1" x14ac:dyDescent="0.3"/>
    <row r="2182" ht="20.05" customHeight="1" x14ac:dyDescent="0.3"/>
    <row r="2183" ht="20.05" customHeight="1" x14ac:dyDescent="0.3"/>
    <row r="2184" ht="20.05" customHeight="1" x14ac:dyDescent="0.3"/>
    <row r="2185" ht="20.05" customHeight="1" x14ac:dyDescent="0.3"/>
    <row r="2186" ht="20.05" customHeight="1" x14ac:dyDescent="0.3"/>
    <row r="2187" ht="20.05" customHeight="1" x14ac:dyDescent="0.3"/>
    <row r="2188" ht="20.05" customHeight="1" x14ac:dyDescent="0.3"/>
    <row r="2189" ht="20.05" customHeight="1" x14ac:dyDescent="0.3"/>
    <row r="2190" ht="20.05" customHeight="1" x14ac:dyDescent="0.3"/>
    <row r="2191" ht="20.05" customHeight="1" x14ac:dyDescent="0.3"/>
    <row r="2192" ht="20.05" customHeight="1" x14ac:dyDescent="0.3"/>
    <row r="2193" ht="20.05" customHeight="1" x14ac:dyDescent="0.3"/>
    <row r="2194" ht="20.05" customHeight="1" x14ac:dyDescent="0.3"/>
    <row r="2195" ht="20.05" customHeight="1" x14ac:dyDescent="0.3"/>
    <row r="2196" ht="20.05" customHeight="1" x14ac:dyDescent="0.3"/>
    <row r="2197" ht="20.05" customHeight="1" x14ac:dyDescent="0.3"/>
  </sheetData>
  <sheetProtection algorithmName="SHA-512" hashValue="ilAT7my8VfMdQeER/TfavsdC12T7eVIp5xSTr4UtRkIkhCwE6o1eKc2U/T9PrgA2oSvADsIx1m3O0TvI5bNKRA==" saltValue="1bchTLaRw9fr/tlZKlndqw==" spinCount="100000" sheet="1" objects="1" scenarios="1" selectLockedCells="1"/>
  <mergeCells count="1">
    <mergeCell ref="A1:B1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D985A-4D9E-4A13-83BD-5ED744BE7A75}">
  <sheetPr codeName="Sheet10">
    <tabColor theme="0" tint="-0.499984740745262"/>
  </sheetPr>
  <dimension ref="A1:B2197"/>
  <sheetViews>
    <sheetView topLeftCell="A26" workbookViewId="0">
      <selection activeCell="N24" sqref="N24"/>
    </sheetView>
  </sheetViews>
  <sheetFormatPr defaultColWidth="9.109375" defaultRowHeight="15.05" x14ac:dyDescent="0.3"/>
  <cols>
    <col min="1" max="1" width="18.109375" style="1" customWidth="1"/>
    <col min="2" max="2" width="27.33203125" style="1" customWidth="1"/>
    <col min="3" max="16384" width="9.109375" style="1"/>
  </cols>
  <sheetData>
    <row r="1" spans="1:2" ht="98.3" customHeight="1" x14ac:dyDescent="0.3">
      <c r="A1" s="121"/>
      <c r="B1" s="121"/>
    </row>
    <row r="2" spans="1:2" ht="20.05" customHeight="1" x14ac:dyDescent="0.3">
      <c r="A2" s="3" t="s">
        <v>0</v>
      </c>
      <c r="B2" s="4">
        <f>'Client Information'!B2</f>
        <v>0</v>
      </c>
    </row>
    <row r="3" spans="1:2" ht="20.05" customHeight="1" x14ac:dyDescent="0.3">
      <c r="A3" s="3" t="s">
        <v>1</v>
      </c>
      <c r="B3" s="4">
        <f>'Client Information'!B3</f>
        <v>0</v>
      </c>
    </row>
    <row r="4" spans="1:2" ht="20.05" customHeight="1" x14ac:dyDescent="0.3">
      <c r="A4" s="3" t="s">
        <v>2</v>
      </c>
      <c r="B4" s="4">
        <f>'Client Information'!B4</f>
        <v>0</v>
      </c>
    </row>
    <row r="5" spans="1:2" ht="20.05" customHeight="1" x14ac:dyDescent="0.3">
      <c r="A5" s="3" t="s">
        <v>3</v>
      </c>
      <c r="B5" s="4">
        <f>'Client Information'!B5</f>
        <v>0</v>
      </c>
    </row>
    <row r="6" spans="1:2" ht="20.05" customHeight="1" x14ac:dyDescent="0.3">
      <c r="A6" s="3" t="s">
        <v>4</v>
      </c>
      <c r="B6" s="4">
        <f>'Client Information'!B6</f>
        <v>0</v>
      </c>
    </row>
    <row r="7" spans="1:2" ht="20.05" customHeight="1" x14ac:dyDescent="0.3">
      <c r="A7" s="3" t="s">
        <v>5</v>
      </c>
      <c r="B7" s="4">
        <f>'Client Information'!B7</f>
        <v>0</v>
      </c>
    </row>
    <row r="8" spans="1:2" ht="20.05" customHeight="1" x14ac:dyDescent="0.3">
      <c r="A8" s="3" t="s">
        <v>6</v>
      </c>
      <c r="B8" s="4">
        <f>'Client Information'!B8</f>
        <v>0</v>
      </c>
    </row>
    <row r="9" spans="1:2" ht="20.05" customHeight="1" x14ac:dyDescent="0.3">
      <c r="A9" s="3" t="s">
        <v>7</v>
      </c>
      <c r="B9" s="4">
        <f>'Client Information'!B9</f>
        <v>0</v>
      </c>
    </row>
    <row r="10" spans="1:2" ht="20.05" customHeight="1" x14ac:dyDescent="0.3">
      <c r="A10" s="3" t="s">
        <v>8</v>
      </c>
      <c r="B10" s="4">
        <f>'Client Information'!B10</f>
        <v>0</v>
      </c>
    </row>
    <row r="11" spans="1:2" ht="20.05" customHeight="1" x14ac:dyDescent="0.3"/>
    <row r="12" spans="1:2" ht="20.05" customHeight="1" x14ac:dyDescent="0.3"/>
    <row r="13" spans="1:2" ht="20.05" customHeight="1" x14ac:dyDescent="0.3"/>
    <row r="14" spans="1:2" ht="20.05" customHeight="1" x14ac:dyDescent="0.3"/>
    <row r="15" spans="1:2" ht="20.05" customHeight="1" x14ac:dyDescent="0.3"/>
    <row r="16" spans="1:2" ht="20.05" customHeight="1" x14ac:dyDescent="0.3"/>
    <row r="17" ht="20.05" customHeight="1" x14ac:dyDescent="0.3"/>
    <row r="18" ht="20.05" customHeight="1" x14ac:dyDescent="0.3"/>
    <row r="19" ht="20.05" customHeight="1" x14ac:dyDescent="0.3"/>
    <row r="20" ht="20.05" customHeight="1" x14ac:dyDescent="0.3"/>
    <row r="21" ht="20.05" customHeight="1" x14ac:dyDescent="0.3"/>
    <row r="22" ht="20.05" customHeight="1" x14ac:dyDescent="0.3"/>
    <row r="23" ht="20.05" customHeight="1" x14ac:dyDescent="0.3"/>
    <row r="24" ht="20.05" customHeight="1" x14ac:dyDescent="0.3"/>
    <row r="25" ht="20.05" customHeight="1" x14ac:dyDescent="0.3"/>
    <row r="26" ht="20.05" customHeight="1" x14ac:dyDescent="0.3"/>
    <row r="27" ht="20.05" customHeight="1" x14ac:dyDescent="0.3"/>
    <row r="28" ht="20.05" customHeight="1" x14ac:dyDescent="0.3"/>
    <row r="29" ht="20.05" customHeight="1" x14ac:dyDescent="0.3"/>
    <row r="30" ht="20.05" customHeight="1" x14ac:dyDescent="0.3"/>
    <row r="31" ht="20.05" customHeight="1" x14ac:dyDescent="0.3"/>
    <row r="32" ht="20.05" customHeight="1" x14ac:dyDescent="0.3"/>
    <row r="33" ht="20.05" customHeight="1" x14ac:dyDescent="0.3"/>
    <row r="34" ht="20.05" customHeight="1" x14ac:dyDescent="0.3"/>
    <row r="35" ht="20.05" customHeight="1" x14ac:dyDescent="0.3"/>
    <row r="36" ht="20.05" customHeight="1" x14ac:dyDescent="0.3"/>
    <row r="37" ht="20.05" customHeight="1" x14ac:dyDescent="0.3"/>
    <row r="38" ht="20.05" customHeight="1" x14ac:dyDescent="0.3"/>
    <row r="39" ht="20.05" customHeight="1" x14ac:dyDescent="0.3"/>
    <row r="40" ht="20.05" customHeight="1" x14ac:dyDescent="0.3"/>
    <row r="41" ht="20.05" customHeight="1" x14ac:dyDescent="0.3"/>
    <row r="42" ht="20.05" customHeight="1" x14ac:dyDescent="0.3"/>
    <row r="43" ht="20.05" customHeight="1" x14ac:dyDescent="0.3"/>
    <row r="44" ht="20.05" customHeight="1" x14ac:dyDescent="0.3"/>
    <row r="45" ht="20.05" customHeight="1" x14ac:dyDescent="0.3"/>
    <row r="46" ht="20.05" customHeight="1" x14ac:dyDescent="0.3"/>
    <row r="47" ht="20.05" customHeight="1" x14ac:dyDescent="0.3"/>
    <row r="48" ht="20.05" customHeight="1" x14ac:dyDescent="0.3"/>
    <row r="49" ht="20.05" customHeight="1" x14ac:dyDescent="0.3"/>
    <row r="50" ht="20.05" customHeight="1" x14ac:dyDescent="0.3"/>
    <row r="51" ht="20.05" customHeight="1" x14ac:dyDescent="0.3"/>
    <row r="52" ht="20.05" customHeight="1" x14ac:dyDescent="0.3"/>
    <row r="53" ht="20.05" customHeight="1" x14ac:dyDescent="0.3"/>
    <row r="54" ht="20.05" customHeight="1" x14ac:dyDescent="0.3"/>
    <row r="55" ht="20.05" customHeight="1" x14ac:dyDescent="0.3"/>
    <row r="56" ht="20.05" customHeight="1" x14ac:dyDescent="0.3"/>
    <row r="57" ht="20.05" customHeight="1" x14ac:dyDescent="0.3"/>
    <row r="58" ht="20.05" customHeight="1" x14ac:dyDescent="0.3"/>
    <row r="59" ht="20.05" customHeight="1" x14ac:dyDescent="0.3"/>
    <row r="60" ht="20.05" customHeight="1" x14ac:dyDescent="0.3"/>
    <row r="61" ht="20.05" customHeight="1" x14ac:dyDescent="0.3"/>
    <row r="62" ht="20.05" customHeight="1" x14ac:dyDescent="0.3"/>
    <row r="63" ht="20.05" customHeight="1" x14ac:dyDescent="0.3"/>
    <row r="64" ht="20.05" customHeight="1" x14ac:dyDescent="0.3"/>
    <row r="65" ht="20.05" customHeight="1" x14ac:dyDescent="0.3"/>
    <row r="66" ht="20.05" customHeight="1" x14ac:dyDescent="0.3"/>
    <row r="67" ht="20.05" customHeight="1" x14ac:dyDescent="0.3"/>
    <row r="68" ht="20.05" customHeight="1" x14ac:dyDescent="0.3"/>
    <row r="69" ht="20.05" customHeight="1" x14ac:dyDescent="0.3"/>
    <row r="70" ht="20.05" customHeight="1" x14ac:dyDescent="0.3"/>
    <row r="71" ht="20.05" customHeight="1" x14ac:dyDescent="0.3"/>
    <row r="72" ht="20.05" customHeight="1" x14ac:dyDescent="0.3"/>
    <row r="73" ht="20.05" customHeight="1" x14ac:dyDescent="0.3"/>
    <row r="74" ht="20.05" customHeight="1" x14ac:dyDescent="0.3"/>
    <row r="75" ht="20.05" customHeight="1" x14ac:dyDescent="0.3"/>
    <row r="76" ht="20.05" customHeight="1" x14ac:dyDescent="0.3"/>
    <row r="77" ht="20.05" customHeight="1" x14ac:dyDescent="0.3"/>
    <row r="78" ht="20.05" customHeight="1" x14ac:dyDescent="0.3"/>
    <row r="79" ht="20.05" customHeight="1" x14ac:dyDescent="0.3"/>
    <row r="80" ht="20.05" customHeight="1" x14ac:dyDescent="0.3"/>
    <row r="81" ht="20.05" customHeight="1" x14ac:dyDescent="0.3"/>
    <row r="82" ht="20.05" customHeight="1" x14ac:dyDescent="0.3"/>
    <row r="83" ht="20.05" customHeight="1" x14ac:dyDescent="0.3"/>
    <row r="84" ht="20.05" customHeight="1" x14ac:dyDescent="0.3"/>
    <row r="85" ht="20.05" customHeight="1" x14ac:dyDescent="0.3"/>
    <row r="86" ht="20.05" customHeight="1" x14ac:dyDescent="0.3"/>
    <row r="87" ht="20.05" customHeight="1" x14ac:dyDescent="0.3"/>
    <row r="88" ht="20.05" customHeight="1" x14ac:dyDescent="0.3"/>
    <row r="89" ht="20.05" customHeight="1" x14ac:dyDescent="0.3"/>
    <row r="90" ht="20.05" customHeight="1" x14ac:dyDescent="0.3"/>
    <row r="91" ht="20.05" customHeight="1" x14ac:dyDescent="0.3"/>
    <row r="92" ht="20.05" customHeight="1" x14ac:dyDescent="0.3"/>
    <row r="93" ht="20.05" customHeight="1" x14ac:dyDescent="0.3"/>
    <row r="94" ht="20.05" customHeight="1" x14ac:dyDescent="0.3"/>
    <row r="95" ht="20.05" customHeight="1" x14ac:dyDescent="0.3"/>
    <row r="96" ht="20.05" customHeight="1" x14ac:dyDescent="0.3"/>
    <row r="97" ht="20.05" customHeight="1" x14ac:dyDescent="0.3"/>
    <row r="98" ht="20.05" customHeight="1" x14ac:dyDescent="0.3"/>
    <row r="99" ht="20.05" customHeight="1" x14ac:dyDescent="0.3"/>
    <row r="100" ht="20.05" customHeight="1" x14ac:dyDescent="0.3"/>
    <row r="101" ht="20.05" customHeight="1" x14ac:dyDescent="0.3"/>
    <row r="102" ht="20.05" customHeight="1" x14ac:dyDescent="0.3"/>
    <row r="103" ht="20.05" customHeight="1" x14ac:dyDescent="0.3"/>
    <row r="104" ht="20.05" customHeight="1" x14ac:dyDescent="0.3"/>
    <row r="105" ht="20.05" customHeight="1" x14ac:dyDescent="0.3"/>
    <row r="106" ht="20.05" customHeight="1" x14ac:dyDescent="0.3"/>
    <row r="107" ht="20.05" customHeight="1" x14ac:dyDescent="0.3"/>
    <row r="108" ht="20.05" customHeight="1" x14ac:dyDescent="0.3"/>
    <row r="109" ht="20.05" customHeight="1" x14ac:dyDescent="0.3"/>
    <row r="110" ht="20.05" customHeight="1" x14ac:dyDescent="0.3"/>
    <row r="111" ht="20.05" customHeight="1" x14ac:dyDescent="0.3"/>
    <row r="112" ht="20.05" customHeight="1" x14ac:dyDescent="0.3"/>
    <row r="113" ht="20.05" customHeight="1" x14ac:dyDescent="0.3"/>
    <row r="114" ht="20.05" customHeight="1" x14ac:dyDescent="0.3"/>
    <row r="115" ht="20.05" customHeight="1" x14ac:dyDescent="0.3"/>
    <row r="116" ht="20.05" customHeight="1" x14ac:dyDescent="0.3"/>
    <row r="117" ht="20.05" customHeight="1" x14ac:dyDescent="0.3"/>
    <row r="118" ht="20.05" customHeight="1" x14ac:dyDescent="0.3"/>
    <row r="119" ht="20.05" customHeight="1" x14ac:dyDescent="0.3"/>
    <row r="120" ht="20.05" customHeight="1" x14ac:dyDescent="0.3"/>
    <row r="121" ht="20.05" customHeight="1" x14ac:dyDescent="0.3"/>
    <row r="122" ht="20.05" customHeight="1" x14ac:dyDescent="0.3"/>
    <row r="123" ht="20.05" customHeight="1" x14ac:dyDescent="0.3"/>
    <row r="124" ht="20.05" customHeight="1" x14ac:dyDescent="0.3"/>
    <row r="125" ht="20.05" customHeight="1" x14ac:dyDescent="0.3"/>
    <row r="126" ht="20.05" customHeight="1" x14ac:dyDescent="0.3"/>
    <row r="127" ht="20.05" customHeight="1" x14ac:dyDescent="0.3"/>
    <row r="128" ht="20.05" customHeight="1" x14ac:dyDescent="0.3"/>
    <row r="129" ht="20.05" customHeight="1" x14ac:dyDescent="0.3"/>
    <row r="130" ht="20.05" customHeight="1" x14ac:dyDescent="0.3"/>
    <row r="131" ht="20.05" customHeight="1" x14ac:dyDescent="0.3"/>
    <row r="132" ht="20.05" customHeight="1" x14ac:dyDescent="0.3"/>
    <row r="133" ht="20.05" customHeight="1" x14ac:dyDescent="0.3"/>
    <row r="134" ht="20.05" customHeight="1" x14ac:dyDescent="0.3"/>
    <row r="135" ht="20.05" customHeight="1" x14ac:dyDescent="0.3"/>
    <row r="136" ht="20.05" customHeight="1" x14ac:dyDescent="0.3"/>
    <row r="137" ht="20.05" customHeight="1" x14ac:dyDescent="0.3"/>
    <row r="138" ht="20.05" customHeight="1" x14ac:dyDescent="0.3"/>
    <row r="139" ht="20.05" customHeight="1" x14ac:dyDescent="0.3"/>
    <row r="140" ht="20.05" customHeight="1" x14ac:dyDescent="0.3"/>
    <row r="141" ht="20.05" customHeight="1" x14ac:dyDescent="0.3"/>
    <row r="142" ht="20.05" customHeight="1" x14ac:dyDescent="0.3"/>
    <row r="143" ht="20.05" customHeight="1" x14ac:dyDescent="0.3"/>
    <row r="144" ht="20.05" customHeight="1" x14ac:dyDescent="0.3"/>
    <row r="145" ht="20.05" customHeight="1" x14ac:dyDescent="0.3"/>
    <row r="146" ht="20.05" customHeight="1" x14ac:dyDescent="0.3"/>
    <row r="147" ht="20.05" customHeight="1" x14ac:dyDescent="0.3"/>
    <row r="148" ht="20.05" customHeight="1" x14ac:dyDescent="0.3"/>
    <row r="149" ht="20.05" customHeight="1" x14ac:dyDescent="0.3"/>
    <row r="150" ht="20.05" customHeight="1" x14ac:dyDescent="0.3"/>
    <row r="151" ht="20.05" customHeight="1" x14ac:dyDescent="0.3"/>
    <row r="152" ht="20.05" customHeight="1" x14ac:dyDescent="0.3"/>
    <row r="153" ht="20.05" customHeight="1" x14ac:dyDescent="0.3"/>
    <row r="154" ht="20.05" customHeight="1" x14ac:dyDescent="0.3"/>
    <row r="155" ht="20.05" customHeight="1" x14ac:dyDescent="0.3"/>
    <row r="156" ht="20.05" customHeight="1" x14ac:dyDescent="0.3"/>
    <row r="157" ht="20.05" customHeight="1" x14ac:dyDescent="0.3"/>
    <row r="158" ht="20.05" customHeight="1" x14ac:dyDescent="0.3"/>
    <row r="159" ht="20.05" customHeight="1" x14ac:dyDescent="0.3"/>
    <row r="160" ht="20.05" customHeight="1" x14ac:dyDescent="0.3"/>
    <row r="161" ht="20.05" customHeight="1" x14ac:dyDescent="0.3"/>
    <row r="162" ht="20.05" customHeight="1" x14ac:dyDescent="0.3"/>
    <row r="163" ht="20.05" customHeight="1" x14ac:dyDescent="0.3"/>
    <row r="164" ht="20.05" customHeight="1" x14ac:dyDescent="0.3"/>
    <row r="165" ht="20.05" customHeight="1" x14ac:dyDescent="0.3"/>
    <row r="166" ht="20.05" customHeight="1" x14ac:dyDescent="0.3"/>
    <row r="167" ht="20.05" customHeight="1" x14ac:dyDescent="0.3"/>
    <row r="168" ht="20.05" customHeight="1" x14ac:dyDescent="0.3"/>
    <row r="169" ht="20.05" customHeight="1" x14ac:dyDescent="0.3"/>
    <row r="170" ht="20.05" customHeight="1" x14ac:dyDescent="0.3"/>
    <row r="171" ht="20.05" customHeight="1" x14ac:dyDescent="0.3"/>
    <row r="172" ht="20.05" customHeight="1" x14ac:dyDescent="0.3"/>
    <row r="173" ht="20.05" customHeight="1" x14ac:dyDescent="0.3"/>
    <row r="174" ht="20.05" customHeight="1" x14ac:dyDescent="0.3"/>
    <row r="175" ht="20.05" customHeight="1" x14ac:dyDescent="0.3"/>
    <row r="176" ht="20.05" customHeight="1" x14ac:dyDescent="0.3"/>
    <row r="177" ht="20.05" customHeight="1" x14ac:dyDescent="0.3"/>
    <row r="178" ht="20.05" customHeight="1" x14ac:dyDescent="0.3"/>
    <row r="179" ht="20.05" customHeight="1" x14ac:dyDescent="0.3"/>
    <row r="180" ht="20.05" customHeight="1" x14ac:dyDescent="0.3"/>
    <row r="181" ht="20.05" customHeight="1" x14ac:dyDescent="0.3"/>
    <row r="182" ht="20.05" customHeight="1" x14ac:dyDescent="0.3"/>
    <row r="183" ht="20.05" customHeight="1" x14ac:dyDescent="0.3"/>
    <row r="184" ht="20.05" customHeight="1" x14ac:dyDescent="0.3"/>
    <row r="185" ht="20.05" customHeight="1" x14ac:dyDescent="0.3"/>
    <row r="186" ht="20.05" customHeight="1" x14ac:dyDescent="0.3"/>
    <row r="187" ht="20.05" customHeight="1" x14ac:dyDescent="0.3"/>
    <row r="188" ht="20.05" customHeight="1" x14ac:dyDescent="0.3"/>
    <row r="189" ht="20.05" customHeight="1" x14ac:dyDescent="0.3"/>
    <row r="190" ht="20.05" customHeight="1" x14ac:dyDescent="0.3"/>
    <row r="191" ht="20.05" customHeight="1" x14ac:dyDescent="0.3"/>
    <row r="192" ht="20.05" customHeight="1" x14ac:dyDescent="0.3"/>
    <row r="193" ht="20.05" customHeight="1" x14ac:dyDescent="0.3"/>
    <row r="194" ht="20.05" customHeight="1" x14ac:dyDescent="0.3"/>
    <row r="195" ht="20.05" customHeight="1" x14ac:dyDescent="0.3"/>
    <row r="196" ht="20.05" customHeight="1" x14ac:dyDescent="0.3"/>
    <row r="197" ht="20.05" customHeight="1" x14ac:dyDescent="0.3"/>
    <row r="198" ht="20.05" customHeight="1" x14ac:dyDescent="0.3"/>
    <row r="199" ht="20.05" customHeight="1" x14ac:dyDescent="0.3"/>
    <row r="200" ht="20.05" customHeight="1" x14ac:dyDescent="0.3"/>
    <row r="201" ht="20.05" customHeight="1" x14ac:dyDescent="0.3"/>
    <row r="202" ht="20.05" customHeight="1" x14ac:dyDescent="0.3"/>
    <row r="203" ht="20.05" customHeight="1" x14ac:dyDescent="0.3"/>
    <row r="204" ht="20.05" customHeight="1" x14ac:dyDescent="0.3"/>
    <row r="205" ht="20.05" customHeight="1" x14ac:dyDescent="0.3"/>
    <row r="206" ht="20.05" customHeight="1" x14ac:dyDescent="0.3"/>
    <row r="207" ht="20.05" customHeight="1" x14ac:dyDescent="0.3"/>
    <row r="208" ht="20.05" customHeight="1" x14ac:dyDescent="0.3"/>
    <row r="209" ht="20.05" customHeight="1" x14ac:dyDescent="0.3"/>
    <row r="210" ht="20.05" customHeight="1" x14ac:dyDescent="0.3"/>
    <row r="211" ht="20.05" customHeight="1" x14ac:dyDescent="0.3"/>
    <row r="212" ht="20.05" customHeight="1" x14ac:dyDescent="0.3"/>
    <row r="213" ht="20.05" customHeight="1" x14ac:dyDescent="0.3"/>
    <row r="214" ht="20.05" customHeight="1" x14ac:dyDescent="0.3"/>
    <row r="215" ht="20.05" customHeight="1" x14ac:dyDescent="0.3"/>
    <row r="216" ht="20.05" customHeight="1" x14ac:dyDescent="0.3"/>
    <row r="217" ht="20.05" customHeight="1" x14ac:dyDescent="0.3"/>
    <row r="218" ht="20.05" customHeight="1" x14ac:dyDescent="0.3"/>
    <row r="219" ht="20.05" customHeight="1" x14ac:dyDescent="0.3"/>
    <row r="220" ht="20.05" customHeight="1" x14ac:dyDescent="0.3"/>
    <row r="221" ht="20.05" customHeight="1" x14ac:dyDescent="0.3"/>
    <row r="222" ht="20.05" customHeight="1" x14ac:dyDescent="0.3"/>
    <row r="223" ht="20.05" customHeight="1" x14ac:dyDescent="0.3"/>
    <row r="224" ht="20.05" customHeight="1" x14ac:dyDescent="0.3"/>
    <row r="225" ht="20.05" customHeight="1" x14ac:dyDescent="0.3"/>
    <row r="226" ht="20.05" customHeight="1" x14ac:dyDescent="0.3"/>
    <row r="227" ht="20.05" customHeight="1" x14ac:dyDescent="0.3"/>
    <row r="228" ht="20.05" customHeight="1" x14ac:dyDescent="0.3"/>
    <row r="229" ht="20.05" customHeight="1" x14ac:dyDescent="0.3"/>
    <row r="230" ht="20.05" customHeight="1" x14ac:dyDescent="0.3"/>
    <row r="231" ht="20.05" customHeight="1" x14ac:dyDescent="0.3"/>
    <row r="232" ht="20.05" customHeight="1" x14ac:dyDescent="0.3"/>
    <row r="233" ht="20.05" customHeight="1" x14ac:dyDescent="0.3"/>
    <row r="234" ht="20.05" customHeight="1" x14ac:dyDescent="0.3"/>
    <row r="235" ht="20.05" customHeight="1" x14ac:dyDescent="0.3"/>
    <row r="236" ht="20.05" customHeight="1" x14ac:dyDescent="0.3"/>
    <row r="237" ht="20.05" customHeight="1" x14ac:dyDescent="0.3"/>
    <row r="238" ht="20.05" customHeight="1" x14ac:dyDescent="0.3"/>
    <row r="239" ht="20.05" customHeight="1" x14ac:dyDescent="0.3"/>
    <row r="240" ht="20.05" customHeight="1" x14ac:dyDescent="0.3"/>
    <row r="241" ht="20.05" customHeight="1" x14ac:dyDescent="0.3"/>
    <row r="242" ht="20.05" customHeight="1" x14ac:dyDescent="0.3"/>
    <row r="243" ht="20.05" customHeight="1" x14ac:dyDescent="0.3"/>
    <row r="244" ht="20.05" customHeight="1" x14ac:dyDescent="0.3"/>
    <row r="245" ht="20.05" customHeight="1" x14ac:dyDescent="0.3"/>
    <row r="246" ht="20.05" customHeight="1" x14ac:dyDescent="0.3"/>
    <row r="247" ht="20.05" customHeight="1" x14ac:dyDescent="0.3"/>
    <row r="248" ht="20.05" customHeight="1" x14ac:dyDescent="0.3"/>
    <row r="249" ht="20.05" customHeight="1" x14ac:dyDescent="0.3"/>
    <row r="250" ht="20.05" customHeight="1" x14ac:dyDescent="0.3"/>
    <row r="251" ht="20.05" customHeight="1" x14ac:dyDescent="0.3"/>
    <row r="252" ht="20.05" customHeight="1" x14ac:dyDescent="0.3"/>
    <row r="253" ht="20.05" customHeight="1" x14ac:dyDescent="0.3"/>
    <row r="254" ht="20.05" customHeight="1" x14ac:dyDescent="0.3"/>
    <row r="255" ht="20.05" customHeight="1" x14ac:dyDescent="0.3"/>
    <row r="256" ht="20.05" customHeight="1" x14ac:dyDescent="0.3"/>
    <row r="257" ht="20.05" customHeight="1" x14ac:dyDescent="0.3"/>
    <row r="258" ht="20.05" customHeight="1" x14ac:dyDescent="0.3"/>
    <row r="259" ht="20.05" customHeight="1" x14ac:dyDescent="0.3"/>
    <row r="260" ht="20.05" customHeight="1" x14ac:dyDescent="0.3"/>
    <row r="261" ht="20.05" customHeight="1" x14ac:dyDescent="0.3"/>
    <row r="262" ht="20.05" customHeight="1" x14ac:dyDescent="0.3"/>
    <row r="263" ht="20.05" customHeight="1" x14ac:dyDescent="0.3"/>
    <row r="264" ht="20.05" customHeight="1" x14ac:dyDescent="0.3"/>
    <row r="265" ht="20.05" customHeight="1" x14ac:dyDescent="0.3"/>
    <row r="266" ht="20.05" customHeight="1" x14ac:dyDescent="0.3"/>
    <row r="267" ht="20.05" customHeight="1" x14ac:dyDescent="0.3"/>
    <row r="268" ht="20.05" customHeight="1" x14ac:dyDescent="0.3"/>
    <row r="269" ht="20.05" customHeight="1" x14ac:dyDescent="0.3"/>
    <row r="270" ht="20.05" customHeight="1" x14ac:dyDescent="0.3"/>
    <row r="271" ht="20.05" customHeight="1" x14ac:dyDescent="0.3"/>
    <row r="272" ht="20.05" customHeight="1" x14ac:dyDescent="0.3"/>
    <row r="273" ht="20.05" customHeight="1" x14ac:dyDescent="0.3"/>
    <row r="274" ht="20.05" customHeight="1" x14ac:dyDescent="0.3"/>
    <row r="275" ht="20.05" customHeight="1" x14ac:dyDescent="0.3"/>
    <row r="276" ht="20.05" customHeight="1" x14ac:dyDescent="0.3"/>
    <row r="277" ht="20.05" customHeight="1" x14ac:dyDescent="0.3"/>
    <row r="278" ht="20.05" customHeight="1" x14ac:dyDescent="0.3"/>
    <row r="279" ht="20.05" customHeight="1" x14ac:dyDescent="0.3"/>
    <row r="280" ht="20.05" customHeight="1" x14ac:dyDescent="0.3"/>
    <row r="281" ht="20.05" customHeight="1" x14ac:dyDescent="0.3"/>
    <row r="282" ht="20.05" customHeight="1" x14ac:dyDescent="0.3"/>
    <row r="283" ht="20.05" customHeight="1" x14ac:dyDescent="0.3"/>
    <row r="284" ht="20.05" customHeight="1" x14ac:dyDescent="0.3"/>
    <row r="285" ht="20.05" customHeight="1" x14ac:dyDescent="0.3"/>
    <row r="286" ht="20.05" customHeight="1" x14ac:dyDescent="0.3"/>
    <row r="287" ht="20.05" customHeight="1" x14ac:dyDescent="0.3"/>
    <row r="288" ht="20.05" customHeight="1" x14ac:dyDescent="0.3"/>
    <row r="289" ht="20.05" customHeight="1" x14ac:dyDescent="0.3"/>
    <row r="290" ht="20.05" customHeight="1" x14ac:dyDescent="0.3"/>
    <row r="291" ht="20.05" customHeight="1" x14ac:dyDescent="0.3"/>
    <row r="292" ht="20.05" customHeight="1" x14ac:dyDescent="0.3"/>
    <row r="293" ht="20.05" customHeight="1" x14ac:dyDescent="0.3"/>
    <row r="294" ht="20.05" customHeight="1" x14ac:dyDescent="0.3"/>
    <row r="295" ht="20.05" customHeight="1" x14ac:dyDescent="0.3"/>
    <row r="296" ht="20.05" customHeight="1" x14ac:dyDescent="0.3"/>
    <row r="297" ht="20.05" customHeight="1" x14ac:dyDescent="0.3"/>
    <row r="298" ht="20.05" customHeight="1" x14ac:dyDescent="0.3"/>
    <row r="299" ht="20.05" customHeight="1" x14ac:dyDescent="0.3"/>
    <row r="300" ht="20.05" customHeight="1" x14ac:dyDescent="0.3"/>
    <row r="301" ht="20.05" customHeight="1" x14ac:dyDescent="0.3"/>
    <row r="302" ht="20.05" customHeight="1" x14ac:dyDescent="0.3"/>
    <row r="303" ht="20.05" customHeight="1" x14ac:dyDescent="0.3"/>
    <row r="304" ht="20.05" customHeight="1" x14ac:dyDescent="0.3"/>
    <row r="305" ht="20.05" customHeight="1" x14ac:dyDescent="0.3"/>
    <row r="306" ht="20.05" customHeight="1" x14ac:dyDescent="0.3"/>
    <row r="307" ht="20.05" customHeight="1" x14ac:dyDescent="0.3"/>
    <row r="308" ht="20.05" customHeight="1" x14ac:dyDescent="0.3"/>
    <row r="309" ht="20.05" customHeight="1" x14ac:dyDescent="0.3"/>
    <row r="310" ht="20.05" customHeight="1" x14ac:dyDescent="0.3"/>
    <row r="311" ht="20.05" customHeight="1" x14ac:dyDescent="0.3"/>
    <row r="312" ht="20.05" customHeight="1" x14ac:dyDescent="0.3"/>
    <row r="313" ht="20.05" customHeight="1" x14ac:dyDescent="0.3"/>
    <row r="314" ht="20.05" customHeight="1" x14ac:dyDescent="0.3"/>
    <row r="315" ht="20.05" customHeight="1" x14ac:dyDescent="0.3"/>
    <row r="316" ht="20.05" customHeight="1" x14ac:dyDescent="0.3"/>
    <row r="317" ht="20.05" customHeight="1" x14ac:dyDescent="0.3"/>
    <row r="318" ht="20.05" customHeight="1" x14ac:dyDescent="0.3"/>
    <row r="319" ht="20.05" customHeight="1" x14ac:dyDescent="0.3"/>
    <row r="320" ht="20.05" customHeight="1" x14ac:dyDescent="0.3"/>
    <row r="321" ht="20.05" customHeight="1" x14ac:dyDescent="0.3"/>
    <row r="322" ht="20.05" customHeight="1" x14ac:dyDescent="0.3"/>
    <row r="323" ht="20.05" customHeight="1" x14ac:dyDescent="0.3"/>
    <row r="324" ht="20.05" customHeight="1" x14ac:dyDescent="0.3"/>
    <row r="325" ht="20.05" customHeight="1" x14ac:dyDescent="0.3"/>
    <row r="326" ht="20.05" customHeight="1" x14ac:dyDescent="0.3"/>
    <row r="327" ht="20.05" customHeight="1" x14ac:dyDescent="0.3"/>
    <row r="328" ht="20.05" customHeight="1" x14ac:dyDescent="0.3"/>
    <row r="329" ht="20.05" customHeight="1" x14ac:dyDescent="0.3"/>
    <row r="330" ht="20.05" customHeight="1" x14ac:dyDescent="0.3"/>
    <row r="331" ht="20.05" customHeight="1" x14ac:dyDescent="0.3"/>
    <row r="332" ht="20.05" customHeight="1" x14ac:dyDescent="0.3"/>
    <row r="333" ht="20.05" customHeight="1" x14ac:dyDescent="0.3"/>
    <row r="334" ht="20.05" customHeight="1" x14ac:dyDescent="0.3"/>
    <row r="335" ht="20.05" customHeight="1" x14ac:dyDescent="0.3"/>
    <row r="336" ht="20.05" customHeight="1" x14ac:dyDescent="0.3"/>
    <row r="337" ht="20.05" customHeight="1" x14ac:dyDescent="0.3"/>
    <row r="338" ht="20.05" customHeight="1" x14ac:dyDescent="0.3"/>
    <row r="339" ht="20.05" customHeight="1" x14ac:dyDescent="0.3"/>
    <row r="340" ht="20.05" customHeight="1" x14ac:dyDescent="0.3"/>
    <row r="341" ht="20.05" customHeight="1" x14ac:dyDescent="0.3"/>
    <row r="342" ht="20.05" customHeight="1" x14ac:dyDescent="0.3"/>
    <row r="343" ht="20.05" customHeight="1" x14ac:dyDescent="0.3"/>
    <row r="344" ht="20.05" customHeight="1" x14ac:dyDescent="0.3"/>
    <row r="345" ht="20.05" customHeight="1" x14ac:dyDescent="0.3"/>
    <row r="346" ht="20.05" customHeight="1" x14ac:dyDescent="0.3"/>
    <row r="347" ht="20.05" customHeight="1" x14ac:dyDescent="0.3"/>
    <row r="348" ht="20.05" customHeight="1" x14ac:dyDescent="0.3"/>
    <row r="349" ht="20.05" customHeight="1" x14ac:dyDescent="0.3"/>
    <row r="350" ht="20.05" customHeight="1" x14ac:dyDescent="0.3"/>
    <row r="351" ht="20.05" customHeight="1" x14ac:dyDescent="0.3"/>
    <row r="352" ht="20.05" customHeight="1" x14ac:dyDescent="0.3"/>
    <row r="353" ht="20.05" customHeight="1" x14ac:dyDescent="0.3"/>
    <row r="354" ht="20.05" customHeight="1" x14ac:dyDescent="0.3"/>
    <row r="355" ht="20.05" customHeight="1" x14ac:dyDescent="0.3"/>
    <row r="356" ht="20.05" customHeight="1" x14ac:dyDescent="0.3"/>
    <row r="357" ht="20.05" customHeight="1" x14ac:dyDescent="0.3"/>
    <row r="358" ht="20.05" customHeight="1" x14ac:dyDescent="0.3"/>
    <row r="359" ht="20.05" customHeight="1" x14ac:dyDescent="0.3"/>
    <row r="360" ht="20.05" customHeight="1" x14ac:dyDescent="0.3"/>
    <row r="361" ht="20.05" customHeight="1" x14ac:dyDescent="0.3"/>
    <row r="362" ht="20.05" customHeight="1" x14ac:dyDescent="0.3"/>
    <row r="363" ht="20.05" customHeight="1" x14ac:dyDescent="0.3"/>
    <row r="364" ht="20.05" customHeight="1" x14ac:dyDescent="0.3"/>
    <row r="365" ht="20.05" customHeight="1" x14ac:dyDescent="0.3"/>
    <row r="366" ht="20.05" customHeight="1" x14ac:dyDescent="0.3"/>
    <row r="367" ht="20.05" customHeight="1" x14ac:dyDescent="0.3"/>
    <row r="368" ht="20.05" customHeight="1" x14ac:dyDescent="0.3"/>
    <row r="369" ht="20.05" customHeight="1" x14ac:dyDescent="0.3"/>
    <row r="370" ht="20.05" customHeight="1" x14ac:dyDescent="0.3"/>
    <row r="371" ht="20.05" customHeight="1" x14ac:dyDescent="0.3"/>
    <row r="372" ht="20.05" customHeight="1" x14ac:dyDescent="0.3"/>
    <row r="373" ht="20.05" customHeight="1" x14ac:dyDescent="0.3"/>
    <row r="374" ht="20.05" customHeight="1" x14ac:dyDescent="0.3"/>
    <row r="375" ht="20.05" customHeight="1" x14ac:dyDescent="0.3"/>
    <row r="376" ht="20.05" customHeight="1" x14ac:dyDescent="0.3"/>
    <row r="377" ht="20.05" customHeight="1" x14ac:dyDescent="0.3"/>
    <row r="378" ht="20.05" customHeight="1" x14ac:dyDescent="0.3"/>
    <row r="379" ht="20.05" customHeight="1" x14ac:dyDescent="0.3"/>
    <row r="380" ht="20.05" customHeight="1" x14ac:dyDescent="0.3"/>
    <row r="381" ht="20.05" customHeight="1" x14ac:dyDescent="0.3"/>
    <row r="382" ht="20.05" customHeight="1" x14ac:dyDescent="0.3"/>
    <row r="383" ht="20.05" customHeight="1" x14ac:dyDescent="0.3"/>
    <row r="384" ht="20.05" customHeight="1" x14ac:dyDescent="0.3"/>
    <row r="385" ht="20.05" customHeight="1" x14ac:dyDescent="0.3"/>
    <row r="386" ht="20.05" customHeight="1" x14ac:dyDescent="0.3"/>
    <row r="387" ht="20.05" customHeight="1" x14ac:dyDescent="0.3"/>
    <row r="388" ht="20.05" customHeight="1" x14ac:dyDescent="0.3"/>
    <row r="389" ht="20.05" customHeight="1" x14ac:dyDescent="0.3"/>
    <row r="390" ht="20.05" customHeight="1" x14ac:dyDescent="0.3"/>
    <row r="391" ht="20.05" customHeight="1" x14ac:dyDescent="0.3"/>
    <row r="392" ht="20.05" customHeight="1" x14ac:dyDescent="0.3"/>
    <row r="393" ht="20.05" customHeight="1" x14ac:dyDescent="0.3"/>
    <row r="394" ht="20.05" customHeight="1" x14ac:dyDescent="0.3"/>
    <row r="395" ht="20.05" customHeight="1" x14ac:dyDescent="0.3"/>
    <row r="396" ht="20.05" customHeight="1" x14ac:dyDescent="0.3"/>
    <row r="397" ht="20.05" customHeight="1" x14ac:dyDescent="0.3"/>
    <row r="398" ht="20.05" customHeight="1" x14ac:dyDescent="0.3"/>
    <row r="399" ht="20.05" customHeight="1" x14ac:dyDescent="0.3"/>
    <row r="400" ht="20.05" customHeight="1" x14ac:dyDescent="0.3"/>
    <row r="401" ht="20.05" customHeight="1" x14ac:dyDescent="0.3"/>
    <row r="402" ht="20.05" customHeight="1" x14ac:dyDescent="0.3"/>
    <row r="403" ht="20.05" customHeight="1" x14ac:dyDescent="0.3"/>
    <row r="404" ht="20.05" customHeight="1" x14ac:dyDescent="0.3"/>
    <row r="405" ht="20.05" customHeight="1" x14ac:dyDescent="0.3"/>
    <row r="406" ht="20.05" customHeight="1" x14ac:dyDescent="0.3"/>
    <row r="407" ht="20.05" customHeight="1" x14ac:dyDescent="0.3"/>
    <row r="408" ht="20.05" customHeight="1" x14ac:dyDescent="0.3"/>
    <row r="409" ht="20.05" customHeight="1" x14ac:dyDescent="0.3"/>
    <row r="410" ht="20.05" customHeight="1" x14ac:dyDescent="0.3"/>
    <row r="411" ht="20.05" customHeight="1" x14ac:dyDescent="0.3"/>
    <row r="412" ht="20.05" customHeight="1" x14ac:dyDescent="0.3"/>
    <row r="413" ht="20.05" customHeight="1" x14ac:dyDescent="0.3"/>
    <row r="414" ht="20.05" customHeight="1" x14ac:dyDescent="0.3"/>
    <row r="415" ht="20.05" customHeight="1" x14ac:dyDescent="0.3"/>
    <row r="416" ht="20.05" customHeight="1" x14ac:dyDescent="0.3"/>
    <row r="417" ht="20.05" customHeight="1" x14ac:dyDescent="0.3"/>
    <row r="418" ht="20.05" customHeight="1" x14ac:dyDescent="0.3"/>
    <row r="419" ht="20.05" customHeight="1" x14ac:dyDescent="0.3"/>
    <row r="420" ht="20.05" customHeight="1" x14ac:dyDescent="0.3"/>
    <row r="421" ht="20.05" customHeight="1" x14ac:dyDescent="0.3"/>
    <row r="422" ht="20.05" customHeight="1" x14ac:dyDescent="0.3"/>
    <row r="423" ht="20.05" customHeight="1" x14ac:dyDescent="0.3"/>
    <row r="424" ht="20.05" customHeight="1" x14ac:dyDescent="0.3"/>
    <row r="425" ht="20.05" customHeight="1" x14ac:dyDescent="0.3"/>
    <row r="426" ht="20.05" customHeight="1" x14ac:dyDescent="0.3"/>
    <row r="427" ht="20.05" customHeight="1" x14ac:dyDescent="0.3"/>
    <row r="428" ht="20.05" customHeight="1" x14ac:dyDescent="0.3"/>
    <row r="429" ht="20.05" customHeight="1" x14ac:dyDescent="0.3"/>
    <row r="430" ht="20.05" customHeight="1" x14ac:dyDescent="0.3"/>
    <row r="431" ht="20.05" customHeight="1" x14ac:dyDescent="0.3"/>
    <row r="432" ht="20.05" customHeight="1" x14ac:dyDescent="0.3"/>
    <row r="433" ht="20.05" customHeight="1" x14ac:dyDescent="0.3"/>
    <row r="434" ht="20.05" customHeight="1" x14ac:dyDescent="0.3"/>
    <row r="435" ht="20.05" customHeight="1" x14ac:dyDescent="0.3"/>
    <row r="436" ht="20.05" customHeight="1" x14ac:dyDescent="0.3"/>
    <row r="437" ht="20.05" customHeight="1" x14ac:dyDescent="0.3"/>
    <row r="438" ht="20.05" customHeight="1" x14ac:dyDescent="0.3"/>
    <row r="439" ht="20.05" customHeight="1" x14ac:dyDescent="0.3"/>
    <row r="440" ht="20.05" customHeight="1" x14ac:dyDescent="0.3"/>
    <row r="441" ht="20.05" customHeight="1" x14ac:dyDescent="0.3"/>
    <row r="442" ht="20.05" customHeight="1" x14ac:dyDescent="0.3"/>
    <row r="443" ht="20.05" customHeight="1" x14ac:dyDescent="0.3"/>
    <row r="444" ht="20.05" customHeight="1" x14ac:dyDescent="0.3"/>
    <row r="445" ht="20.05" customHeight="1" x14ac:dyDescent="0.3"/>
    <row r="446" ht="20.05" customHeight="1" x14ac:dyDescent="0.3"/>
    <row r="447" ht="20.05" customHeight="1" x14ac:dyDescent="0.3"/>
    <row r="448" ht="20.05" customHeight="1" x14ac:dyDescent="0.3"/>
    <row r="449" ht="20.05" customHeight="1" x14ac:dyDescent="0.3"/>
    <row r="450" ht="20.05" customHeight="1" x14ac:dyDescent="0.3"/>
    <row r="451" ht="20.05" customHeight="1" x14ac:dyDescent="0.3"/>
    <row r="452" ht="20.05" customHeight="1" x14ac:dyDescent="0.3"/>
    <row r="453" ht="20.05" customHeight="1" x14ac:dyDescent="0.3"/>
    <row r="454" ht="20.05" customHeight="1" x14ac:dyDescent="0.3"/>
    <row r="455" ht="20.05" customHeight="1" x14ac:dyDescent="0.3"/>
    <row r="456" ht="20.05" customHeight="1" x14ac:dyDescent="0.3"/>
    <row r="457" ht="20.05" customHeight="1" x14ac:dyDescent="0.3"/>
    <row r="458" ht="20.05" customHeight="1" x14ac:dyDescent="0.3"/>
    <row r="459" ht="20.05" customHeight="1" x14ac:dyDescent="0.3"/>
    <row r="460" ht="20.05" customHeight="1" x14ac:dyDescent="0.3"/>
    <row r="461" ht="20.05" customHeight="1" x14ac:dyDescent="0.3"/>
    <row r="462" ht="20.05" customHeight="1" x14ac:dyDescent="0.3"/>
    <row r="463" ht="20.05" customHeight="1" x14ac:dyDescent="0.3"/>
    <row r="464" ht="20.05" customHeight="1" x14ac:dyDescent="0.3"/>
    <row r="465" ht="20.05" customHeight="1" x14ac:dyDescent="0.3"/>
    <row r="466" ht="20.05" customHeight="1" x14ac:dyDescent="0.3"/>
    <row r="467" ht="20.05" customHeight="1" x14ac:dyDescent="0.3"/>
    <row r="468" ht="20.05" customHeight="1" x14ac:dyDescent="0.3"/>
    <row r="469" ht="20.05" customHeight="1" x14ac:dyDescent="0.3"/>
    <row r="470" ht="20.05" customHeight="1" x14ac:dyDescent="0.3"/>
    <row r="471" ht="20.05" customHeight="1" x14ac:dyDescent="0.3"/>
    <row r="472" ht="20.05" customHeight="1" x14ac:dyDescent="0.3"/>
    <row r="473" ht="20.05" customHeight="1" x14ac:dyDescent="0.3"/>
    <row r="474" ht="20.05" customHeight="1" x14ac:dyDescent="0.3"/>
    <row r="475" ht="20.05" customHeight="1" x14ac:dyDescent="0.3"/>
    <row r="476" ht="20.05" customHeight="1" x14ac:dyDescent="0.3"/>
    <row r="477" ht="20.05" customHeight="1" x14ac:dyDescent="0.3"/>
    <row r="478" ht="20.05" customHeight="1" x14ac:dyDescent="0.3"/>
    <row r="479" ht="20.05" customHeight="1" x14ac:dyDescent="0.3"/>
    <row r="480" ht="20.05" customHeight="1" x14ac:dyDescent="0.3"/>
    <row r="481" ht="20.05" customHeight="1" x14ac:dyDescent="0.3"/>
    <row r="482" ht="20.05" customHeight="1" x14ac:dyDescent="0.3"/>
    <row r="483" ht="20.05" customHeight="1" x14ac:dyDescent="0.3"/>
    <row r="484" ht="20.05" customHeight="1" x14ac:dyDescent="0.3"/>
    <row r="485" ht="20.05" customHeight="1" x14ac:dyDescent="0.3"/>
    <row r="486" ht="20.05" customHeight="1" x14ac:dyDescent="0.3"/>
    <row r="487" ht="20.05" customHeight="1" x14ac:dyDescent="0.3"/>
    <row r="488" ht="20.05" customHeight="1" x14ac:dyDescent="0.3"/>
    <row r="489" ht="20.05" customHeight="1" x14ac:dyDescent="0.3"/>
    <row r="490" ht="20.05" customHeight="1" x14ac:dyDescent="0.3"/>
    <row r="491" ht="20.05" customHeight="1" x14ac:dyDescent="0.3"/>
    <row r="492" ht="20.05" customHeight="1" x14ac:dyDescent="0.3"/>
    <row r="493" ht="20.05" customHeight="1" x14ac:dyDescent="0.3"/>
    <row r="494" ht="20.05" customHeight="1" x14ac:dyDescent="0.3"/>
    <row r="495" ht="20.05" customHeight="1" x14ac:dyDescent="0.3"/>
    <row r="496" ht="20.05" customHeight="1" x14ac:dyDescent="0.3"/>
    <row r="497" ht="20.05" customHeight="1" x14ac:dyDescent="0.3"/>
    <row r="498" ht="20.05" customHeight="1" x14ac:dyDescent="0.3"/>
    <row r="499" ht="20.05" customHeight="1" x14ac:dyDescent="0.3"/>
    <row r="500" ht="20.05" customHeight="1" x14ac:dyDescent="0.3"/>
    <row r="501" ht="20.05" customHeight="1" x14ac:dyDescent="0.3"/>
    <row r="502" ht="20.05" customHeight="1" x14ac:dyDescent="0.3"/>
    <row r="503" ht="20.05" customHeight="1" x14ac:dyDescent="0.3"/>
    <row r="504" ht="20.05" customHeight="1" x14ac:dyDescent="0.3"/>
    <row r="505" ht="20.05" customHeight="1" x14ac:dyDescent="0.3"/>
    <row r="506" ht="20.05" customHeight="1" x14ac:dyDescent="0.3"/>
    <row r="507" ht="20.05" customHeight="1" x14ac:dyDescent="0.3"/>
    <row r="508" ht="20.05" customHeight="1" x14ac:dyDescent="0.3"/>
    <row r="509" ht="20.05" customHeight="1" x14ac:dyDescent="0.3"/>
    <row r="510" ht="20.05" customHeight="1" x14ac:dyDescent="0.3"/>
    <row r="511" ht="20.05" customHeight="1" x14ac:dyDescent="0.3"/>
    <row r="512" ht="20.05" customHeight="1" x14ac:dyDescent="0.3"/>
    <row r="513" ht="20.05" customHeight="1" x14ac:dyDescent="0.3"/>
    <row r="514" ht="20.05" customHeight="1" x14ac:dyDescent="0.3"/>
    <row r="515" ht="20.05" customHeight="1" x14ac:dyDescent="0.3"/>
    <row r="516" ht="20.05" customHeight="1" x14ac:dyDescent="0.3"/>
    <row r="517" ht="20.05" customHeight="1" x14ac:dyDescent="0.3"/>
    <row r="518" ht="20.05" customHeight="1" x14ac:dyDescent="0.3"/>
    <row r="519" ht="20.05" customHeight="1" x14ac:dyDescent="0.3"/>
    <row r="520" ht="20.05" customHeight="1" x14ac:dyDescent="0.3"/>
    <row r="521" ht="20.05" customHeight="1" x14ac:dyDescent="0.3"/>
    <row r="522" ht="20.05" customHeight="1" x14ac:dyDescent="0.3"/>
    <row r="523" ht="20.05" customHeight="1" x14ac:dyDescent="0.3"/>
    <row r="524" ht="20.05" customHeight="1" x14ac:dyDescent="0.3"/>
    <row r="525" ht="20.05" customHeight="1" x14ac:dyDescent="0.3"/>
    <row r="526" ht="20.05" customHeight="1" x14ac:dyDescent="0.3"/>
    <row r="527" ht="20.05" customHeight="1" x14ac:dyDescent="0.3"/>
    <row r="528" ht="20.05" customHeight="1" x14ac:dyDescent="0.3"/>
    <row r="529" ht="20.05" customHeight="1" x14ac:dyDescent="0.3"/>
    <row r="530" ht="20.05" customHeight="1" x14ac:dyDescent="0.3"/>
    <row r="531" ht="20.05" customHeight="1" x14ac:dyDescent="0.3"/>
    <row r="532" ht="20.05" customHeight="1" x14ac:dyDescent="0.3"/>
    <row r="533" ht="20.05" customHeight="1" x14ac:dyDescent="0.3"/>
    <row r="534" ht="20.05" customHeight="1" x14ac:dyDescent="0.3"/>
    <row r="535" ht="20.05" customHeight="1" x14ac:dyDescent="0.3"/>
    <row r="536" ht="20.05" customHeight="1" x14ac:dyDescent="0.3"/>
    <row r="537" ht="20.05" customHeight="1" x14ac:dyDescent="0.3"/>
    <row r="538" ht="20.05" customHeight="1" x14ac:dyDescent="0.3"/>
    <row r="539" ht="20.05" customHeight="1" x14ac:dyDescent="0.3"/>
    <row r="540" ht="20.05" customHeight="1" x14ac:dyDescent="0.3"/>
    <row r="541" ht="20.05" customHeight="1" x14ac:dyDescent="0.3"/>
    <row r="542" ht="20.05" customHeight="1" x14ac:dyDescent="0.3"/>
    <row r="543" ht="20.05" customHeight="1" x14ac:dyDescent="0.3"/>
    <row r="544" ht="20.05" customHeight="1" x14ac:dyDescent="0.3"/>
    <row r="545" ht="20.05" customHeight="1" x14ac:dyDescent="0.3"/>
    <row r="546" ht="20.05" customHeight="1" x14ac:dyDescent="0.3"/>
    <row r="547" ht="20.05" customHeight="1" x14ac:dyDescent="0.3"/>
    <row r="548" ht="20.05" customHeight="1" x14ac:dyDescent="0.3"/>
    <row r="549" ht="20.05" customHeight="1" x14ac:dyDescent="0.3"/>
    <row r="550" ht="20.05" customHeight="1" x14ac:dyDescent="0.3"/>
    <row r="551" ht="20.05" customHeight="1" x14ac:dyDescent="0.3"/>
    <row r="552" ht="20.05" customHeight="1" x14ac:dyDescent="0.3"/>
    <row r="553" ht="20.05" customHeight="1" x14ac:dyDescent="0.3"/>
    <row r="554" ht="20.05" customHeight="1" x14ac:dyDescent="0.3"/>
    <row r="555" ht="20.05" customHeight="1" x14ac:dyDescent="0.3"/>
    <row r="556" ht="20.05" customHeight="1" x14ac:dyDescent="0.3"/>
    <row r="557" ht="20.05" customHeight="1" x14ac:dyDescent="0.3"/>
    <row r="558" ht="20.05" customHeight="1" x14ac:dyDescent="0.3"/>
    <row r="559" ht="20.05" customHeight="1" x14ac:dyDescent="0.3"/>
    <row r="560" ht="20.05" customHeight="1" x14ac:dyDescent="0.3"/>
    <row r="561" ht="20.05" customHeight="1" x14ac:dyDescent="0.3"/>
    <row r="562" ht="20.05" customHeight="1" x14ac:dyDescent="0.3"/>
    <row r="563" ht="20.05" customHeight="1" x14ac:dyDescent="0.3"/>
    <row r="564" ht="20.05" customHeight="1" x14ac:dyDescent="0.3"/>
    <row r="565" ht="20.05" customHeight="1" x14ac:dyDescent="0.3"/>
    <row r="566" ht="20.05" customHeight="1" x14ac:dyDescent="0.3"/>
    <row r="567" ht="20.05" customHeight="1" x14ac:dyDescent="0.3"/>
    <row r="568" ht="20.05" customHeight="1" x14ac:dyDescent="0.3"/>
    <row r="569" ht="20.05" customHeight="1" x14ac:dyDescent="0.3"/>
    <row r="570" ht="20.05" customHeight="1" x14ac:dyDescent="0.3"/>
    <row r="571" ht="20.05" customHeight="1" x14ac:dyDescent="0.3"/>
    <row r="572" ht="20.05" customHeight="1" x14ac:dyDescent="0.3"/>
    <row r="573" ht="20.05" customHeight="1" x14ac:dyDescent="0.3"/>
    <row r="574" ht="20.05" customHeight="1" x14ac:dyDescent="0.3"/>
    <row r="575" ht="20.05" customHeight="1" x14ac:dyDescent="0.3"/>
    <row r="576" ht="20.05" customHeight="1" x14ac:dyDescent="0.3"/>
    <row r="577" ht="20.05" customHeight="1" x14ac:dyDescent="0.3"/>
    <row r="578" ht="20.05" customHeight="1" x14ac:dyDescent="0.3"/>
    <row r="579" ht="20.05" customHeight="1" x14ac:dyDescent="0.3"/>
    <row r="580" ht="20.05" customHeight="1" x14ac:dyDescent="0.3"/>
    <row r="581" ht="20.05" customHeight="1" x14ac:dyDescent="0.3"/>
    <row r="582" ht="20.05" customHeight="1" x14ac:dyDescent="0.3"/>
    <row r="583" ht="20.05" customHeight="1" x14ac:dyDescent="0.3"/>
    <row r="584" ht="20.05" customHeight="1" x14ac:dyDescent="0.3"/>
    <row r="585" ht="20.05" customHeight="1" x14ac:dyDescent="0.3"/>
    <row r="586" ht="20.05" customHeight="1" x14ac:dyDescent="0.3"/>
    <row r="587" ht="20.05" customHeight="1" x14ac:dyDescent="0.3"/>
    <row r="588" ht="20.05" customHeight="1" x14ac:dyDescent="0.3"/>
    <row r="589" ht="20.05" customHeight="1" x14ac:dyDescent="0.3"/>
    <row r="590" ht="20.05" customHeight="1" x14ac:dyDescent="0.3"/>
    <row r="591" ht="20.05" customHeight="1" x14ac:dyDescent="0.3"/>
    <row r="592" ht="20.05" customHeight="1" x14ac:dyDescent="0.3"/>
    <row r="593" ht="20.05" customHeight="1" x14ac:dyDescent="0.3"/>
    <row r="594" ht="20.05" customHeight="1" x14ac:dyDescent="0.3"/>
    <row r="595" ht="20.05" customHeight="1" x14ac:dyDescent="0.3"/>
    <row r="596" ht="20.05" customHeight="1" x14ac:dyDescent="0.3"/>
    <row r="597" ht="20.05" customHeight="1" x14ac:dyDescent="0.3"/>
    <row r="598" ht="20.05" customHeight="1" x14ac:dyDescent="0.3"/>
    <row r="599" ht="20.05" customHeight="1" x14ac:dyDescent="0.3"/>
    <row r="600" ht="20.05" customHeight="1" x14ac:dyDescent="0.3"/>
    <row r="601" ht="20.05" customHeight="1" x14ac:dyDescent="0.3"/>
    <row r="602" ht="20.05" customHeight="1" x14ac:dyDescent="0.3"/>
    <row r="603" ht="20.05" customHeight="1" x14ac:dyDescent="0.3"/>
    <row r="604" ht="20.05" customHeight="1" x14ac:dyDescent="0.3"/>
    <row r="605" ht="20.05" customHeight="1" x14ac:dyDescent="0.3"/>
    <row r="606" ht="20.05" customHeight="1" x14ac:dyDescent="0.3"/>
    <row r="607" ht="20.05" customHeight="1" x14ac:dyDescent="0.3"/>
    <row r="608" ht="20.05" customHeight="1" x14ac:dyDescent="0.3"/>
    <row r="609" ht="20.05" customHeight="1" x14ac:dyDescent="0.3"/>
    <row r="610" ht="20.05" customHeight="1" x14ac:dyDescent="0.3"/>
    <row r="611" ht="20.05" customHeight="1" x14ac:dyDescent="0.3"/>
    <row r="612" ht="20.05" customHeight="1" x14ac:dyDescent="0.3"/>
    <row r="613" ht="20.05" customHeight="1" x14ac:dyDescent="0.3"/>
    <row r="614" ht="20.05" customHeight="1" x14ac:dyDescent="0.3"/>
    <row r="615" ht="20.05" customHeight="1" x14ac:dyDescent="0.3"/>
    <row r="616" ht="20.05" customHeight="1" x14ac:dyDescent="0.3"/>
    <row r="617" ht="20.05" customHeight="1" x14ac:dyDescent="0.3"/>
    <row r="618" ht="20.05" customHeight="1" x14ac:dyDescent="0.3"/>
    <row r="619" ht="20.05" customHeight="1" x14ac:dyDescent="0.3"/>
    <row r="620" ht="20.05" customHeight="1" x14ac:dyDescent="0.3"/>
    <row r="621" ht="20.05" customHeight="1" x14ac:dyDescent="0.3"/>
    <row r="622" ht="20.05" customHeight="1" x14ac:dyDescent="0.3"/>
    <row r="623" ht="20.05" customHeight="1" x14ac:dyDescent="0.3"/>
    <row r="624" ht="20.05" customHeight="1" x14ac:dyDescent="0.3"/>
    <row r="625" ht="20.05" customHeight="1" x14ac:dyDescent="0.3"/>
    <row r="626" ht="20.05" customHeight="1" x14ac:dyDescent="0.3"/>
    <row r="627" ht="20.05" customHeight="1" x14ac:dyDescent="0.3"/>
    <row r="628" ht="20.05" customHeight="1" x14ac:dyDescent="0.3"/>
    <row r="629" ht="20.05" customHeight="1" x14ac:dyDescent="0.3"/>
    <row r="630" ht="20.05" customHeight="1" x14ac:dyDescent="0.3"/>
    <row r="631" ht="20.05" customHeight="1" x14ac:dyDescent="0.3"/>
    <row r="632" ht="20.05" customHeight="1" x14ac:dyDescent="0.3"/>
    <row r="633" ht="20.05" customHeight="1" x14ac:dyDescent="0.3"/>
    <row r="634" ht="20.05" customHeight="1" x14ac:dyDescent="0.3"/>
    <row r="635" ht="20.05" customHeight="1" x14ac:dyDescent="0.3"/>
    <row r="636" ht="20.05" customHeight="1" x14ac:dyDescent="0.3"/>
    <row r="637" ht="20.05" customHeight="1" x14ac:dyDescent="0.3"/>
    <row r="638" ht="20.05" customHeight="1" x14ac:dyDescent="0.3"/>
    <row r="639" ht="20.05" customHeight="1" x14ac:dyDescent="0.3"/>
    <row r="640" ht="20.05" customHeight="1" x14ac:dyDescent="0.3"/>
    <row r="641" ht="20.05" customHeight="1" x14ac:dyDescent="0.3"/>
    <row r="642" ht="20.05" customHeight="1" x14ac:dyDescent="0.3"/>
    <row r="643" ht="20.05" customHeight="1" x14ac:dyDescent="0.3"/>
    <row r="644" ht="20.05" customHeight="1" x14ac:dyDescent="0.3"/>
    <row r="645" ht="20.05" customHeight="1" x14ac:dyDescent="0.3"/>
    <row r="646" ht="20.05" customHeight="1" x14ac:dyDescent="0.3"/>
    <row r="647" ht="20.05" customHeight="1" x14ac:dyDescent="0.3"/>
    <row r="648" ht="20.05" customHeight="1" x14ac:dyDescent="0.3"/>
    <row r="649" ht="20.05" customHeight="1" x14ac:dyDescent="0.3"/>
    <row r="650" ht="20.05" customHeight="1" x14ac:dyDescent="0.3"/>
    <row r="651" ht="20.05" customHeight="1" x14ac:dyDescent="0.3"/>
    <row r="652" ht="20.05" customHeight="1" x14ac:dyDescent="0.3"/>
    <row r="653" ht="20.05" customHeight="1" x14ac:dyDescent="0.3"/>
    <row r="654" ht="20.05" customHeight="1" x14ac:dyDescent="0.3"/>
    <row r="655" ht="20.05" customHeight="1" x14ac:dyDescent="0.3"/>
    <row r="656" ht="20.05" customHeight="1" x14ac:dyDescent="0.3"/>
    <row r="657" ht="20.05" customHeight="1" x14ac:dyDescent="0.3"/>
    <row r="658" ht="20.05" customHeight="1" x14ac:dyDescent="0.3"/>
    <row r="659" ht="20.05" customHeight="1" x14ac:dyDescent="0.3"/>
    <row r="660" ht="20.05" customHeight="1" x14ac:dyDescent="0.3"/>
    <row r="661" ht="20.05" customHeight="1" x14ac:dyDescent="0.3"/>
    <row r="662" ht="20.05" customHeight="1" x14ac:dyDescent="0.3"/>
    <row r="663" ht="20.05" customHeight="1" x14ac:dyDescent="0.3"/>
    <row r="664" ht="20.05" customHeight="1" x14ac:dyDescent="0.3"/>
    <row r="665" ht="20.05" customHeight="1" x14ac:dyDescent="0.3"/>
    <row r="666" ht="20.05" customHeight="1" x14ac:dyDescent="0.3"/>
    <row r="667" ht="20.05" customHeight="1" x14ac:dyDescent="0.3"/>
    <row r="668" ht="20.05" customHeight="1" x14ac:dyDescent="0.3"/>
    <row r="669" ht="20.05" customHeight="1" x14ac:dyDescent="0.3"/>
    <row r="670" ht="20.05" customHeight="1" x14ac:dyDescent="0.3"/>
    <row r="671" ht="20.05" customHeight="1" x14ac:dyDescent="0.3"/>
    <row r="672" ht="20.05" customHeight="1" x14ac:dyDescent="0.3"/>
    <row r="673" ht="20.05" customHeight="1" x14ac:dyDescent="0.3"/>
    <row r="674" ht="20.05" customHeight="1" x14ac:dyDescent="0.3"/>
    <row r="675" ht="20.05" customHeight="1" x14ac:dyDescent="0.3"/>
    <row r="676" ht="20.05" customHeight="1" x14ac:dyDescent="0.3"/>
    <row r="677" ht="20.05" customHeight="1" x14ac:dyDescent="0.3"/>
    <row r="678" ht="20.05" customHeight="1" x14ac:dyDescent="0.3"/>
    <row r="679" ht="20.05" customHeight="1" x14ac:dyDescent="0.3"/>
    <row r="680" ht="20.05" customHeight="1" x14ac:dyDescent="0.3"/>
    <row r="681" ht="20.05" customHeight="1" x14ac:dyDescent="0.3"/>
    <row r="682" ht="20.05" customHeight="1" x14ac:dyDescent="0.3"/>
    <row r="683" ht="20.05" customHeight="1" x14ac:dyDescent="0.3"/>
    <row r="684" ht="20.05" customHeight="1" x14ac:dyDescent="0.3"/>
    <row r="685" ht="20.05" customHeight="1" x14ac:dyDescent="0.3"/>
    <row r="686" ht="20.05" customHeight="1" x14ac:dyDescent="0.3"/>
    <row r="687" ht="20.05" customHeight="1" x14ac:dyDescent="0.3"/>
    <row r="688" ht="20.05" customHeight="1" x14ac:dyDescent="0.3"/>
    <row r="689" ht="20.05" customHeight="1" x14ac:dyDescent="0.3"/>
    <row r="690" ht="20.05" customHeight="1" x14ac:dyDescent="0.3"/>
    <row r="691" ht="20.05" customHeight="1" x14ac:dyDescent="0.3"/>
    <row r="692" ht="20.05" customHeight="1" x14ac:dyDescent="0.3"/>
    <row r="693" ht="20.05" customHeight="1" x14ac:dyDescent="0.3"/>
    <row r="694" ht="20.05" customHeight="1" x14ac:dyDescent="0.3"/>
    <row r="695" ht="20.05" customHeight="1" x14ac:dyDescent="0.3"/>
    <row r="696" ht="20.05" customHeight="1" x14ac:dyDescent="0.3"/>
    <row r="697" ht="20.05" customHeight="1" x14ac:dyDescent="0.3"/>
    <row r="698" ht="20.05" customHeight="1" x14ac:dyDescent="0.3"/>
    <row r="699" ht="20.05" customHeight="1" x14ac:dyDescent="0.3"/>
    <row r="700" ht="20.05" customHeight="1" x14ac:dyDescent="0.3"/>
    <row r="701" ht="20.05" customHeight="1" x14ac:dyDescent="0.3"/>
    <row r="702" ht="20.05" customHeight="1" x14ac:dyDescent="0.3"/>
    <row r="703" ht="20.05" customHeight="1" x14ac:dyDescent="0.3"/>
    <row r="704" ht="20.05" customHeight="1" x14ac:dyDescent="0.3"/>
    <row r="705" ht="20.05" customHeight="1" x14ac:dyDescent="0.3"/>
    <row r="706" ht="20.05" customHeight="1" x14ac:dyDescent="0.3"/>
    <row r="707" ht="20.05" customHeight="1" x14ac:dyDescent="0.3"/>
    <row r="708" ht="20.05" customHeight="1" x14ac:dyDescent="0.3"/>
    <row r="709" ht="20.05" customHeight="1" x14ac:dyDescent="0.3"/>
    <row r="710" ht="20.05" customHeight="1" x14ac:dyDescent="0.3"/>
    <row r="711" ht="20.05" customHeight="1" x14ac:dyDescent="0.3"/>
    <row r="712" ht="20.05" customHeight="1" x14ac:dyDescent="0.3"/>
    <row r="713" ht="20.05" customHeight="1" x14ac:dyDescent="0.3"/>
    <row r="714" ht="20.05" customHeight="1" x14ac:dyDescent="0.3"/>
    <row r="715" ht="20.05" customHeight="1" x14ac:dyDescent="0.3"/>
    <row r="716" ht="20.05" customHeight="1" x14ac:dyDescent="0.3"/>
    <row r="717" ht="20.05" customHeight="1" x14ac:dyDescent="0.3"/>
    <row r="718" ht="20.05" customHeight="1" x14ac:dyDescent="0.3"/>
    <row r="719" ht="20.05" customHeight="1" x14ac:dyDescent="0.3"/>
    <row r="720" ht="20.05" customHeight="1" x14ac:dyDescent="0.3"/>
    <row r="721" ht="20.05" customHeight="1" x14ac:dyDescent="0.3"/>
    <row r="722" ht="20.05" customHeight="1" x14ac:dyDescent="0.3"/>
    <row r="723" ht="20.05" customHeight="1" x14ac:dyDescent="0.3"/>
    <row r="724" ht="20.05" customHeight="1" x14ac:dyDescent="0.3"/>
    <row r="725" ht="20.05" customHeight="1" x14ac:dyDescent="0.3"/>
    <row r="726" ht="20.05" customHeight="1" x14ac:dyDescent="0.3"/>
    <row r="727" ht="20.05" customHeight="1" x14ac:dyDescent="0.3"/>
    <row r="728" ht="20.05" customHeight="1" x14ac:dyDescent="0.3"/>
    <row r="729" ht="20.05" customHeight="1" x14ac:dyDescent="0.3"/>
    <row r="730" ht="20.05" customHeight="1" x14ac:dyDescent="0.3"/>
    <row r="731" ht="20.05" customHeight="1" x14ac:dyDescent="0.3"/>
    <row r="732" ht="20.05" customHeight="1" x14ac:dyDescent="0.3"/>
    <row r="733" ht="20.05" customHeight="1" x14ac:dyDescent="0.3"/>
    <row r="734" ht="20.05" customHeight="1" x14ac:dyDescent="0.3"/>
    <row r="735" ht="20.05" customHeight="1" x14ac:dyDescent="0.3"/>
    <row r="736" ht="20.05" customHeight="1" x14ac:dyDescent="0.3"/>
    <row r="737" ht="20.05" customHeight="1" x14ac:dyDescent="0.3"/>
    <row r="738" ht="20.05" customHeight="1" x14ac:dyDescent="0.3"/>
    <row r="739" ht="20.05" customHeight="1" x14ac:dyDescent="0.3"/>
    <row r="740" ht="20.05" customHeight="1" x14ac:dyDescent="0.3"/>
    <row r="741" ht="20.05" customHeight="1" x14ac:dyDescent="0.3"/>
    <row r="742" ht="20.05" customHeight="1" x14ac:dyDescent="0.3"/>
    <row r="743" ht="20.05" customHeight="1" x14ac:dyDescent="0.3"/>
    <row r="744" ht="20.05" customHeight="1" x14ac:dyDescent="0.3"/>
    <row r="745" ht="20.05" customHeight="1" x14ac:dyDescent="0.3"/>
    <row r="746" ht="20.05" customHeight="1" x14ac:dyDescent="0.3"/>
    <row r="747" ht="20.05" customHeight="1" x14ac:dyDescent="0.3"/>
    <row r="748" ht="20.05" customHeight="1" x14ac:dyDescent="0.3"/>
    <row r="749" ht="20.05" customHeight="1" x14ac:dyDescent="0.3"/>
    <row r="750" ht="20.05" customHeight="1" x14ac:dyDescent="0.3"/>
    <row r="751" ht="20.05" customHeight="1" x14ac:dyDescent="0.3"/>
    <row r="752" ht="20.05" customHeight="1" x14ac:dyDescent="0.3"/>
    <row r="753" ht="20.05" customHeight="1" x14ac:dyDescent="0.3"/>
    <row r="754" ht="20.05" customHeight="1" x14ac:dyDescent="0.3"/>
    <row r="755" ht="20.05" customHeight="1" x14ac:dyDescent="0.3"/>
    <row r="756" ht="20.05" customHeight="1" x14ac:dyDescent="0.3"/>
    <row r="757" ht="20.05" customHeight="1" x14ac:dyDescent="0.3"/>
    <row r="758" ht="20.05" customHeight="1" x14ac:dyDescent="0.3"/>
    <row r="759" ht="20.05" customHeight="1" x14ac:dyDescent="0.3"/>
    <row r="760" ht="20.05" customHeight="1" x14ac:dyDescent="0.3"/>
    <row r="761" ht="20.05" customHeight="1" x14ac:dyDescent="0.3"/>
    <row r="762" ht="20.05" customHeight="1" x14ac:dyDescent="0.3"/>
    <row r="763" ht="20.05" customHeight="1" x14ac:dyDescent="0.3"/>
    <row r="764" ht="20.05" customHeight="1" x14ac:dyDescent="0.3"/>
    <row r="765" ht="20.05" customHeight="1" x14ac:dyDescent="0.3"/>
    <row r="766" ht="20.05" customHeight="1" x14ac:dyDescent="0.3"/>
    <row r="767" ht="20.05" customHeight="1" x14ac:dyDescent="0.3"/>
    <row r="768" ht="20.05" customHeight="1" x14ac:dyDescent="0.3"/>
    <row r="769" ht="20.05" customHeight="1" x14ac:dyDescent="0.3"/>
    <row r="770" ht="20.05" customHeight="1" x14ac:dyDescent="0.3"/>
    <row r="771" ht="20.05" customHeight="1" x14ac:dyDescent="0.3"/>
    <row r="772" ht="20.05" customHeight="1" x14ac:dyDescent="0.3"/>
    <row r="773" ht="20.05" customHeight="1" x14ac:dyDescent="0.3"/>
    <row r="774" ht="20.05" customHeight="1" x14ac:dyDescent="0.3"/>
    <row r="775" ht="20.05" customHeight="1" x14ac:dyDescent="0.3"/>
    <row r="776" ht="20.05" customHeight="1" x14ac:dyDescent="0.3"/>
    <row r="777" ht="20.05" customHeight="1" x14ac:dyDescent="0.3"/>
    <row r="778" ht="20.05" customHeight="1" x14ac:dyDescent="0.3"/>
    <row r="779" ht="20.05" customHeight="1" x14ac:dyDescent="0.3"/>
    <row r="780" ht="20.05" customHeight="1" x14ac:dyDescent="0.3"/>
    <row r="781" ht="20.05" customHeight="1" x14ac:dyDescent="0.3"/>
    <row r="782" ht="20.05" customHeight="1" x14ac:dyDescent="0.3"/>
    <row r="783" ht="20.05" customHeight="1" x14ac:dyDescent="0.3"/>
    <row r="784" ht="20.05" customHeight="1" x14ac:dyDescent="0.3"/>
    <row r="785" ht="20.05" customHeight="1" x14ac:dyDescent="0.3"/>
    <row r="786" ht="20.05" customHeight="1" x14ac:dyDescent="0.3"/>
    <row r="787" ht="20.05" customHeight="1" x14ac:dyDescent="0.3"/>
    <row r="788" ht="20.05" customHeight="1" x14ac:dyDescent="0.3"/>
    <row r="789" ht="20.05" customHeight="1" x14ac:dyDescent="0.3"/>
    <row r="790" ht="20.05" customHeight="1" x14ac:dyDescent="0.3"/>
    <row r="791" ht="20.05" customHeight="1" x14ac:dyDescent="0.3"/>
    <row r="792" ht="20.05" customHeight="1" x14ac:dyDescent="0.3"/>
    <row r="793" ht="20.05" customHeight="1" x14ac:dyDescent="0.3"/>
    <row r="794" ht="20.05" customHeight="1" x14ac:dyDescent="0.3"/>
    <row r="795" ht="20.05" customHeight="1" x14ac:dyDescent="0.3"/>
    <row r="796" ht="20.05" customHeight="1" x14ac:dyDescent="0.3"/>
    <row r="797" ht="20.05" customHeight="1" x14ac:dyDescent="0.3"/>
    <row r="798" ht="20.05" customHeight="1" x14ac:dyDescent="0.3"/>
    <row r="799" ht="20.05" customHeight="1" x14ac:dyDescent="0.3"/>
    <row r="800" ht="20.05" customHeight="1" x14ac:dyDescent="0.3"/>
    <row r="801" ht="20.05" customHeight="1" x14ac:dyDescent="0.3"/>
    <row r="802" ht="20.05" customHeight="1" x14ac:dyDescent="0.3"/>
    <row r="803" ht="20.05" customHeight="1" x14ac:dyDescent="0.3"/>
    <row r="804" ht="20.05" customHeight="1" x14ac:dyDescent="0.3"/>
    <row r="805" ht="20.05" customHeight="1" x14ac:dyDescent="0.3"/>
    <row r="806" ht="20.05" customHeight="1" x14ac:dyDescent="0.3"/>
    <row r="807" ht="20.05" customHeight="1" x14ac:dyDescent="0.3"/>
    <row r="808" ht="20.05" customHeight="1" x14ac:dyDescent="0.3"/>
    <row r="809" ht="20.05" customHeight="1" x14ac:dyDescent="0.3"/>
    <row r="810" ht="20.05" customHeight="1" x14ac:dyDescent="0.3"/>
    <row r="811" ht="20.05" customHeight="1" x14ac:dyDescent="0.3"/>
    <row r="812" ht="20.05" customHeight="1" x14ac:dyDescent="0.3"/>
    <row r="813" ht="20.05" customHeight="1" x14ac:dyDescent="0.3"/>
    <row r="814" ht="20.05" customHeight="1" x14ac:dyDescent="0.3"/>
    <row r="815" ht="20.05" customHeight="1" x14ac:dyDescent="0.3"/>
    <row r="816" ht="20.05" customHeight="1" x14ac:dyDescent="0.3"/>
    <row r="817" ht="20.05" customHeight="1" x14ac:dyDescent="0.3"/>
    <row r="818" ht="20.05" customHeight="1" x14ac:dyDescent="0.3"/>
    <row r="819" ht="20.05" customHeight="1" x14ac:dyDescent="0.3"/>
    <row r="820" ht="20.05" customHeight="1" x14ac:dyDescent="0.3"/>
    <row r="821" ht="20.05" customHeight="1" x14ac:dyDescent="0.3"/>
    <row r="822" ht="20.05" customHeight="1" x14ac:dyDescent="0.3"/>
    <row r="823" ht="20.05" customHeight="1" x14ac:dyDescent="0.3"/>
    <row r="824" ht="20.05" customHeight="1" x14ac:dyDescent="0.3"/>
    <row r="825" ht="20.05" customHeight="1" x14ac:dyDescent="0.3"/>
    <row r="826" ht="20.05" customHeight="1" x14ac:dyDescent="0.3"/>
    <row r="827" ht="20.05" customHeight="1" x14ac:dyDescent="0.3"/>
    <row r="828" ht="20.05" customHeight="1" x14ac:dyDescent="0.3"/>
    <row r="829" ht="20.05" customHeight="1" x14ac:dyDescent="0.3"/>
    <row r="830" ht="20.05" customHeight="1" x14ac:dyDescent="0.3"/>
    <row r="831" ht="20.05" customHeight="1" x14ac:dyDescent="0.3"/>
    <row r="832" ht="20.05" customHeight="1" x14ac:dyDescent="0.3"/>
    <row r="833" ht="20.05" customHeight="1" x14ac:dyDescent="0.3"/>
    <row r="834" ht="20.05" customHeight="1" x14ac:dyDescent="0.3"/>
    <row r="835" ht="20.05" customHeight="1" x14ac:dyDescent="0.3"/>
    <row r="836" ht="20.05" customHeight="1" x14ac:dyDescent="0.3"/>
    <row r="837" ht="20.05" customHeight="1" x14ac:dyDescent="0.3"/>
    <row r="838" ht="20.05" customHeight="1" x14ac:dyDescent="0.3"/>
    <row r="839" ht="20.05" customHeight="1" x14ac:dyDescent="0.3"/>
    <row r="840" ht="20.05" customHeight="1" x14ac:dyDescent="0.3"/>
    <row r="841" ht="20.05" customHeight="1" x14ac:dyDescent="0.3"/>
    <row r="842" ht="20.05" customHeight="1" x14ac:dyDescent="0.3"/>
    <row r="843" ht="20.05" customHeight="1" x14ac:dyDescent="0.3"/>
    <row r="844" ht="20.05" customHeight="1" x14ac:dyDescent="0.3"/>
    <row r="845" ht="20.05" customHeight="1" x14ac:dyDescent="0.3"/>
    <row r="846" ht="20.05" customHeight="1" x14ac:dyDescent="0.3"/>
    <row r="847" ht="20.05" customHeight="1" x14ac:dyDescent="0.3"/>
    <row r="848" ht="20.05" customHeight="1" x14ac:dyDescent="0.3"/>
    <row r="849" ht="20.05" customHeight="1" x14ac:dyDescent="0.3"/>
    <row r="850" ht="20.05" customHeight="1" x14ac:dyDescent="0.3"/>
    <row r="851" ht="20.05" customHeight="1" x14ac:dyDescent="0.3"/>
    <row r="852" ht="20.05" customHeight="1" x14ac:dyDescent="0.3"/>
    <row r="853" ht="20.05" customHeight="1" x14ac:dyDescent="0.3"/>
    <row r="854" ht="20.05" customHeight="1" x14ac:dyDescent="0.3"/>
    <row r="855" ht="20.05" customHeight="1" x14ac:dyDescent="0.3"/>
    <row r="856" ht="20.05" customHeight="1" x14ac:dyDescent="0.3"/>
    <row r="857" ht="20.05" customHeight="1" x14ac:dyDescent="0.3"/>
    <row r="858" ht="20.05" customHeight="1" x14ac:dyDescent="0.3"/>
    <row r="859" ht="20.05" customHeight="1" x14ac:dyDescent="0.3"/>
    <row r="860" ht="20.05" customHeight="1" x14ac:dyDescent="0.3"/>
    <row r="861" ht="20.05" customHeight="1" x14ac:dyDescent="0.3"/>
    <row r="862" ht="20.05" customHeight="1" x14ac:dyDescent="0.3"/>
    <row r="863" ht="20.05" customHeight="1" x14ac:dyDescent="0.3"/>
    <row r="864" ht="20.05" customHeight="1" x14ac:dyDescent="0.3"/>
    <row r="865" ht="20.05" customHeight="1" x14ac:dyDescent="0.3"/>
    <row r="866" ht="20.05" customHeight="1" x14ac:dyDescent="0.3"/>
    <row r="867" ht="20.05" customHeight="1" x14ac:dyDescent="0.3"/>
    <row r="868" ht="20.05" customHeight="1" x14ac:dyDescent="0.3"/>
    <row r="869" ht="20.05" customHeight="1" x14ac:dyDescent="0.3"/>
    <row r="870" ht="20.05" customHeight="1" x14ac:dyDescent="0.3"/>
    <row r="871" ht="20.05" customHeight="1" x14ac:dyDescent="0.3"/>
    <row r="872" ht="20.05" customHeight="1" x14ac:dyDescent="0.3"/>
    <row r="873" ht="20.05" customHeight="1" x14ac:dyDescent="0.3"/>
    <row r="874" ht="20.05" customHeight="1" x14ac:dyDescent="0.3"/>
    <row r="875" ht="20.05" customHeight="1" x14ac:dyDescent="0.3"/>
    <row r="876" ht="20.05" customHeight="1" x14ac:dyDescent="0.3"/>
    <row r="877" ht="20.05" customHeight="1" x14ac:dyDescent="0.3"/>
    <row r="878" ht="20.05" customHeight="1" x14ac:dyDescent="0.3"/>
    <row r="879" ht="20.05" customHeight="1" x14ac:dyDescent="0.3"/>
    <row r="880" ht="20.05" customHeight="1" x14ac:dyDescent="0.3"/>
    <row r="881" ht="20.05" customHeight="1" x14ac:dyDescent="0.3"/>
    <row r="882" ht="20.05" customHeight="1" x14ac:dyDescent="0.3"/>
    <row r="883" ht="20.05" customHeight="1" x14ac:dyDescent="0.3"/>
    <row r="884" ht="20.05" customHeight="1" x14ac:dyDescent="0.3"/>
    <row r="885" ht="20.05" customHeight="1" x14ac:dyDescent="0.3"/>
    <row r="886" ht="20.05" customHeight="1" x14ac:dyDescent="0.3"/>
    <row r="887" ht="20.05" customHeight="1" x14ac:dyDescent="0.3"/>
    <row r="888" ht="20.05" customHeight="1" x14ac:dyDescent="0.3"/>
    <row r="889" ht="20.05" customHeight="1" x14ac:dyDescent="0.3"/>
    <row r="890" ht="20.05" customHeight="1" x14ac:dyDescent="0.3"/>
    <row r="891" ht="20.05" customHeight="1" x14ac:dyDescent="0.3"/>
    <row r="892" ht="20.05" customHeight="1" x14ac:dyDescent="0.3"/>
    <row r="893" ht="20.05" customHeight="1" x14ac:dyDescent="0.3"/>
    <row r="894" ht="20.05" customHeight="1" x14ac:dyDescent="0.3"/>
    <row r="895" ht="20.05" customHeight="1" x14ac:dyDescent="0.3"/>
    <row r="896" ht="20.05" customHeight="1" x14ac:dyDescent="0.3"/>
    <row r="897" ht="20.05" customHeight="1" x14ac:dyDescent="0.3"/>
    <row r="898" ht="20.05" customHeight="1" x14ac:dyDescent="0.3"/>
    <row r="899" ht="20.05" customHeight="1" x14ac:dyDescent="0.3"/>
    <row r="900" ht="20.05" customHeight="1" x14ac:dyDescent="0.3"/>
    <row r="901" ht="20.05" customHeight="1" x14ac:dyDescent="0.3"/>
    <row r="902" ht="20.05" customHeight="1" x14ac:dyDescent="0.3"/>
    <row r="903" ht="20.05" customHeight="1" x14ac:dyDescent="0.3"/>
    <row r="904" ht="20.05" customHeight="1" x14ac:dyDescent="0.3"/>
    <row r="905" ht="20.05" customHeight="1" x14ac:dyDescent="0.3"/>
    <row r="906" ht="20.05" customHeight="1" x14ac:dyDescent="0.3"/>
    <row r="907" ht="20.05" customHeight="1" x14ac:dyDescent="0.3"/>
    <row r="908" ht="20.05" customHeight="1" x14ac:dyDescent="0.3"/>
    <row r="909" ht="20.05" customHeight="1" x14ac:dyDescent="0.3"/>
    <row r="910" ht="20.05" customHeight="1" x14ac:dyDescent="0.3"/>
    <row r="911" ht="20.05" customHeight="1" x14ac:dyDescent="0.3"/>
    <row r="912" ht="20.05" customHeight="1" x14ac:dyDescent="0.3"/>
    <row r="913" ht="20.05" customHeight="1" x14ac:dyDescent="0.3"/>
    <row r="914" ht="20.05" customHeight="1" x14ac:dyDescent="0.3"/>
    <row r="915" ht="20.05" customHeight="1" x14ac:dyDescent="0.3"/>
    <row r="916" ht="20.05" customHeight="1" x14ac:dyDescent="0.3"/>
    <row r="917" ht="20.05" customHeight="1" x14ac:dyDescent="0.3"/>
    <row r="918" ht="20.05" customHeight="1" x14ac:dyDescent="0.3"/>
    <row r="919" ht="20.05" customHeight="1" x14ac:dyDescent="0.3"/>
    <row r="920" ht="20.05" customHeight="1" x14ac:dyDescent="0.3"/>
    <row r="921" ht="20.05" customHeight="1" x14ac:dyDescent="0.3"/>
    <row r="922" ht="20.05" customHeight="1" x14ac:dyDescent="0.3"/>
    <row r="923" ht="20.05" customHeight="1" x14ac:dyDescent="0.3"/>
    <row r="924" ht="20.05" customHeight="1" x14ac:dyDescent="0.3"/>
    <row r="925" ht="20.05" customHeight="1" x14ac:dyDescent="0.3"/>
    <row r="926" ht="20.05" customHeight="1" x14ac:dyDescent="0.3"/>
    <row r="927" ht="20.05" customHeight="1" x14ac:dyDescent="0.3"/>
    <row r="928" ht="20.05" customHeight="1" x14ac:dyDescent="0.3"/>
    <row r="929" ht="20.05" customHeight="1" x14ac:dyDescent="0.3"/>
    <row r="930" ht="20.05" customHeight="1" x14ac:dyDescent="0.3"/>
    <row r="931" ht="20.05" customHeight="1" x14ac:dyDescent="0.3"/>
    <row r="932" ht="20.05" customHeight="1" x14ac:dyDescent="0.3"/>
    <row r="933" ht="20.05" customHeight="1" x14ac:dyDescent="0.3"/>
    <row r="934" ht="20.05" customHeight="1" x14ac:dyDescent="0.3"/>
    <row r="935" ht="20.05" customHeight="1" x14ac:dyDescent="0.3"/>
    <row r="936" ht="20.05" customHeight="1" x14ac:dyDescent="0.3"/>
    <row r="937" ht="20.05" customHeight="1" x14ac:dyDescent="0.3"/>
    <row r="938" ht="20.05" customHeight="1" x14ac:dyDescent="0.3"/>
    <row r="939" ht="20.05" customHeight="1" x14ac:dyDescent="0.3"/>
    <row r="940" ht="20.05" customHeight="1" x14ac:dyDescent="0.3"/>
    <row r="941" ht="20.05" customHeight="1" x14ac:dyDescent="0.3"/>
    <row r="942" ht="20.05" customHeight="1" x14ac:dyDescent="0.3"/>
    <row r="943" ht="20.05" customHeight="1" x14ac:dyDescent="0.3"/>
    <row r="944" ht="20.05" customHeight="1" x14ac:dyDescent="0.3"/>
    <row r="945" ht="20.05" customHeight="1" x14ac:dyDescent="0.3"/>
    <row r="946" ht="20.05" customHeight="1" x14ac:dyDescent="0.3"/>
    <row r="947" ht="20.05" customHeight="1" x14ac:dyDescent="0.3"/>
    <row r="948" ht="20.05" customHeight="1" x14ac:dyDescent="0.3"/>
    <row r="949" ht="20.05" customHeight="1" x14ac:dyDescent="0.3"/>
    <row r="950" ht="20.05" customHeight="1" x14ac:dyDescent="0.3"/>
    <row r="951" ht="20.05" customHeight="1" x14ac:dyDescent="0.3"/>
    <row r="952" ht="20.05" customHeight="1" x14ac:dyDescent="0.3"/>
    <row r="953" ht="20.05" customHeight="1" x14ac:dyDescent="0.3"/>
    <row r="954" ht="20.05" customHeight="1" x14ac:dyDescent="0.3"/>
    <row r="955" ht="20.05" customHeight="1" x14ac:dyDescent="0.3"/>
    <row r="956" ht="20.05" customHeight="1" x14ac:dyDescent="0.3"/>
    <row r="957" ht="20.05" customHeight="1" x14ac:dyDescent="0.3"/>
    <row r="958" ht="20.05" customHeight="1" x14ac:dyDescent="0.3"/>
    <row r="959" ht="20.05" customHeight="1" x14ac:dyDescent="0.3"/>
    <row r="960" ht="20.05" customHeight="1" x14ac:dyDescent="0.3"/>
    <row r="961" ht="20.05" customHeight="1" x14ac:dyDescent="0.3"/>
    <row r="962" ht="20.05" customHeight="1" x14ac:dyDescent="0.3"/>
    <row r="963" ht="20.05" customHeight="1" x14ac:dyDescent="0.3"/>
    <row r="964" ht="20.05" customHeight="1" x14ac:dyDescent="0.3"/>
    <row r="965" ht="20.05" customHeight="1" x14ac:dyDescent="0.3"/>
    <row r="966" ht="20.05" customHeight="1" x14ac:dyDescent="0.3"/>
    <row r="967" ht="20.05" customHeight="1" x14ac:dyDescent="0.3"/>
    <row r="968" ht="20.05" customHeight="1" x14ac:dyDescent="0.3"/>
    <row r="969" ht="20.05" customHeight="1" x14ac:dyDescent="0.3"/>
    <row r="970" ht="20.05" customHeight="1" x14ac:dyDescent="0.3"/>
    <row r="971" ht="20.05" customHeight="1" x14ac:dyDescent="0.3"/>
    <row r="972" ht="20.05" customHeight="1" x14ac:dyDescent="0.3"/>
    <row r="973" ht="20.05" customHeight="1" x14ac:dyDescent="0.3"/>
    <row r="974" ht="20.05" customHeight="1" x14ac:dyDescent="0.3"/>
    <row r="975" ht="20.05" customHeight="1" x14ac:dyDescent="0.3"/>
    <row r="976" ht="20.05" customHeight="1" x14ac:dyDescent="0.3"/>
    <row r="977" ht="20.05" customHeight="1" x14ac:dyDescent="0.3"/>
    <row r="978" ht="20.05" customHeight="1" x14ac:dyDescent="0.3"/>
    <row r="979" ht="20.05" customHeight="1" x14ac:dyDescent="0.3"/>
    <row r="980" ht="20.05" customHeight="1" x14ac:dyDescent="0.3"/>
    <row r="981" ht="20.05" customHeight="1" x14ac:dyDescent="0.3"/>
    <row r="982" ht="20.05" customHeight="1" x14ac:dyDescent="0.3"/>
    <row r="983" ht="20.05" customHeight="1" x14ac:dyDescent="0.3"/>
    <row r="984" ht="20.05" customHeight="1" x14ac:dyDescent="0.3"/>
    <row r="985" ht="20.05" customHeight="1" x14ac:dyDescent="0.3"/>
    <row r="986" ht="20.05" customHeight="1" x14ac:dyDescent="0.3"/>
    <row r="987" ht="20.05" customHeight="1" x14ac:dyDescent="0.3"/>
    <row r="988" ht="20.05" customHeight="1" x14ac:dyDescent="0.3"/>
    <row r="989" ht="20.05" customHeight="1" x14ac:dyDescent="0.3"/>
    <row r="990" ht="20.05" customHeight="1" x14ac:dyDescent="0.3"/>
    <row r="991" ht="20.05" customHeight="1" x14ac:dyDescent="0.3"/>
    <row r="992" ht="20.05" customHeight="1" x14ac:dyDescent="0.3"/>
    <row r="993" ht="20.05" customHeight="1" x14ac:dyDescent="0.3"/>
    <row r="994" ht="20.05" customHeight="1" x14ac:dyDescent="0.3"/>
    <row r="995" ht="20.05" customHeight="1" x14ac:dyDescent="0.3"/>
    <row r="996" ht="20.05" customHeight="1" x14ac:dyDescent="0.3"/>
    <row r="997" ht="20.05" customHeight="1" x14ac:dyDescent="0.3"/>
    <row r="998" ht="20.05" customHeight="1" x14ac:dyDescent="0.3"/>
    <row r="999" ht="20.05" customHeight="1" x14ac:dyDescent="0.3"/>
    <row r="1000" ht="20.05" customHeight="1" x14ac:dyDescent="0.3"/>
    <row r="1001" ht="20.05" customHeight="1" x14ac:dyDescent="0.3"/>
    <row r="1002" ht="20.05" customHeight="1" x14ac:dyDescent="0.3"/>
    <row r="1003" ht="20.05" customHeight="1" x14ac:dyDescent="0.3"/>
    <row r="1004" ht="20.05" customHeight="1" x14ac:dyDescent="0.3"/>
    <row r="1005" ht="20.05" customHeight="1" x14ac:dyDescent="0.3"/>
    <row r="1006" ht="20.05" customHeight="1" x14ac:dyDescent="0.3"/>
    <row r="1007" ht="20.05" customHeight="1" x14ac:dyDescent="0.3"/>
    <row r="1008" ht="20.05" customHeight="1" x14ac:dyDescent="0.3"/>
    <row r="1009" ht="20.05" customHeight="1" x14ac:dyDescent="0.3"/>
    <row r="1010" ht="20.05" customHeight="1" x14ac:dyDescent="0.3"/>
    <row r="1011" ht="20.05" customHeight="1" x14ac:dyDescent="0.3"/>
    <row r="1012" ht="20.05" customHeight="1" x14ac:dyDescent="0.3"/>
    <row r="1013" ht="20.05" customHeight="1" x14ac:dyDescent="0.3"/>
    <row r="1014" ht="20.05" customHeight="1" x14ac:dyDescent="0.3"/>
    <row r="1015" ht="20.05" customHeight="1" x14ac:dyDescent="0.3"/>
    <row r="1016" ht="20.05" customHeight="1" x14ac:dyDescent="0.3"/>
    <row r="1017" ht="20.05" customHeight="1" x14ac:dyDescent="0.3"/>
    <row r="1018" ht="20.05" customHeight="1" x14ac:dyDescent="0.3"/>
    <row r="1019" ht="20.05" customHeight="1" x14ac:dyDescent="0.3"/>
    <row r="1020" ht="20.05" customHeight="1" x14ac:dyDescent="0.3"/>
    <row r="1021" ht="20.05" customHeight="1" x14ac:dyDescent="0.3"/>
    <row r="1022" ht="20.05" customHeight="1" x14ac:dyDescent="0.3"/>
    <row r="1023" ht="20.05" customHeight="1" x14ac:dyDescent="0.3"/>
    <row r="1024" ht="20.05" customHeight="1" x14ac:dyDescent="0.3"/>
    <row r="1025" ht="20.05" customHeight="1" x14ac:dyDescent="0.3"/>
    <row r="1026" ht="20.05" customHeight="1" x14ac:dyDescent="0.3"/>
    <row r="1027" ht="20.05" customHeight="1" x14ac:dyDescent="0.3"/>
    <row r="1028" ht="20.05" customHeight="1" x14ac:dyDescent="0.3"/>
    <row r="1029" ht="20.05" customHeight="1" x14ac:dyDescent="0.3"/>
    <row r="1030" ht="20.05" customHeight="1" x14ac:dyDescent="0.3"/>
    <row r="1031" ht="20.05" customHeight="1" x14ac:dyDescent="0.3"/>
    <row r="1032" ht="20.05" customHeight="1" x14ac:dyDescent="0.3"/>
    <row r="1033" ht="20.05" customHeight="1" x14ac:dyDescent="0.3"/>
    <row r="1034" ht="20.05" customHeight="1" x14ac:dyDescent="0.3"/>
    <row r="1035" ht="20.05" customHeight="1" x14ac:dyDescent="0.3"/>
    <row r="1036" ht="20.05" customHeight="1" x14ac:dyDescent="0.3"/>
    <row r="1037" ht="20.05" customHeight="1" x14ac:dyDescent="0.3"/>
    <row r="1038" ht="20.05" customHeight="1" x14ac:dyDescent="0.3"/>
    <row r="1039" ht="20.05" customHeight="1" x14ac:dyDescent="0.3"/>
    <row r="1040" ht="20.05" customHeight="1" x14ac:dyDescent="0.3"/>
    <row r="1041" ht="20.05" customHeight="1" x14ac:dyDescent="0.3"/>
    <row r="1042" ht="20.05" customHeight="1" x14ac:dyDescent="0.3"/>
    <row r="1043" ht="20.05" customHeight="1" x14ac:dyDescent="0.3"/>
    <row r="1044" ht="20.05" customHeight="1" x14ac:dyDescent="0.3"/>
    <row r="1045" ht="20.05" customHeight="1" x14ac:dyDescent="0.3"/>
    <row r="1046" ht="20.05" customHeight="1" x14ac:dyDescent="0.3"/>
    <row r="1047" ht="20.05" customHeight="1" x14ac:dyDescent="0.3"/>
    <row r="1048" ht="20.05" customHeight="1" x14ac:dyDescent="0.3"/>
    <row r="1049" ht="20.05" customHeight="1" x14ac:dyDescent="0.3"/>
    <row r="1050" ht="20.05" customHeight="1" x14ac:dyDescent="0.3"/>
    <row r="1051" ht="20.05" customHeight="1" x14ac:dyDescent="0.3"/>
    <row r="1052" ht="20.05" customHeight="1" x14ac:dyDescent="0.3"/>
    <row r="1053" ht="20.05" customHeight="1" x14ac:dyDescent="0.3"/>
    <row r="1054" ht="20.05" customHeight="1" x14ac:dyDescent="0.3"/>
    <row r="1055" ht="20.05" customHeight="1" x14ac:dyDescent="0.3"/>
    <row r="1056" ht="20.05" customHeight="1" x14ac:dyDescent="0.3"/>
    <row r="1057" ht="20.05" customHeight="1" x14ac:dyDescent="0.3"/>
    <row r="1058" ht="20.05" customHeight="1" x14ac:dyDescent="0.3"/>
    <row r="1059" ht="20.05" customHeight="1" x14ac:dyDescent="0.3"/>
    <row r="1060" ht="20.05" customHeight="1" x14ac:dyDescent="0.3"/>
    <row r="1061" ht="20.05" customHeight="1" x14ac:dyDescent="0.3"/>
    <row r="1062" ht="20.05" customHeight="1" x14ac:dyDescent="0.3"/>
    <row r="1063" ht="20.05" customHeight="1" x14ac:dyDescent="0.3"/>
    <row r="1064" ht="20.05" customHeight="1" x14ac:dyDescent="0.3"/>
    <row r="1065" ht="20.05" customHeight="1" x14ac:dyDescent="0.3"/>
    <row r="1066" ht="20.05" customHeight="1" x14ac:dyDescent="0.3"/>
    <row r="1067" ht="20.05" customHeight="1" x14ac:dyDescent="0.3"/>
    <row r="1068" ht="20.05" customHeight="1" x14ac:dyDescent="0.3"/>
    <row r="1069" ht="20.05" customHeight="1" x14ac:dyDescent="0.3"/>
    <row r="1070" ht="20.05" customHeight="1" x14ac:dyDescent="0.3"/>
    <row r="1071" ht="20.05" customHeight="1" x14ac:dyDescent="0.3"/>
    <row r="1072" ht="20.05" customHeight="1" x14ac:dyDescent="0.3"/>
    <row r="1073" ht="20.05" customHeight="1" x14ac:dyDescent="0.3"/>
    <row r="1074" ht="20.05" customHeight="1" x14ac:dyDescent="0.3"/>
    <row r="1075" ht="20.05" customHeight="1" x14ac:dyDescent="0.3"/>
    <row r="1076" ht="20.05" customHeight="1" x14ac:dyDescent="0.3"/>
    <row r="1077" ht="20.05" customHeight="1" x14ac:dyDescent="0.3"/>
    <row r="1078" ht="20.05" customHeight="1" x14ac:dyDescent="0.3"/>
    <row r="1079" ht="20.05" customHeight="1" x14ac:dyDescent="0.3"/>
    <row r="1080" ht="20.05" customHeight="1" x14ac:dyDescent="0.3"/>
    <row r="1081" ht="20.05" customHeight="1" x14ac:dyDescent="0.3"/>
    <row r="1082" ht="20.05" customHeight="1" x14ac:dyDescent="0.3"/>
    <row r="1083" ht="20.05" customHeight="1" x14ac:dyDescent="0.3"/>
    <row r="1084" ht="20.05" customHeight="1" x14ac:dyDescent="0.3"/>
    <row r="1085" ht="20.05" customHeight="1" x14ac:dyDescent="0.3"/>
    <row r="1086" ht="20.05" customHeight="1" x14ac:dyDescent="0.3"/>
    <row r="1087" ht="20.05" customHeight="1" x14ac:dyDescent="0.3"/>
    <row r="1088" ht="20.05" customHeight="1" x14ac:dyDescent="0.3"/>
    <row r="1089" ht="20.05" customHeight="1" x14ac:dyDescent="0.3"/>
    <row r="1090" ht="20.05" customHeight="1" x14ac:dyDescent="0.3"/>
    <row r="1091" ht="20.05" customHeight="1" x14ac:dyDescent="0.3"/>
    <row r="1092" ht="20.05" customHeight="1" x14ac:dyDescent="0.3"/>
    <row r="1093" ht="20.05" customHeight="1" x14ac:dyDescent="0.3"/>
    <row r="1094" ht="20.05" customHeight="1" x14ac:dyDescent="0.3"/>
    <row r="1095" ht="20.05" customHeight="1" x14ac:dyDescent="0.3"/>
    <row r="1096" ht="20.05" customHeight="1" x14ac:dyDescent="0.3"/>
    <row r="1097" ht="20.05" customHeight="1" x14ac:dyDescent="0.3"/>
    <row r="1098" ht="20.05" customHeight="1" x14ac:dyDescent="0.3"/>
    <row r="1099" ht="20.05" customHeight="1" x14ac:dyDescent="0.3"/>
    <row r="1100" ht="20.05" customHeight="1" x14ac:dyDescent="0.3"/>
    <row r="1101" ht="20.05" customHeight="1" x14ac:dyDescent="0.3"/>
    <row r="1102" ht="20.05" customHeight="1" x14ac:dyDescent="0.3"/>
    <row r="1103" ht="20.05" customHeight="1" x14ac:dyDescent="0.3"/>
    <row r="1104" ht="20.05" customHeight="1" x14ac:dyDescent="0.3"/>
    <row r="1105" ht="20.05" customHeight="1" x14ac:dyDescent="0.3"/>
    <row r="1106" ht="20.05" customHeight="1" x14ac:dyDescent="0.3"/>
    <row r="1107" ht="20.05" customHeight="1" x14ac:dyDescent="0.3"/>
    <row r="1108" ht="20.05" customHeight="1" x14ac:dyDescent="0.3"/>
    <row r="1109" ht="20.05" customHeight="1" x14ac:dyDescent="0.3"/>
    <row r="1110" ht="20.05" customHeight="1" x14ac:dyDescent="0.3"/>
    <row r="1111" ht="20.05" customHeight="1" x14ac:dyDescent="0.3"/>
    <row r="1112" ht="20.05" customHeight="1" x14ac:dyDescent="0.3"/>
    <row r="1113" ht="20.05" customHeight="1" x14ac:dyDescent="0.3"/>
    <row r="1114" ht="20.05" customHeight="1" x14ac:dyDescent="0.3"/>
    <row r="1115" ht="20.05" customHeight="1" x14ac:dyDescent="0.3"/>
    <row r="1116" ht="20.05" customHeight="1" x14ac:dyDescent="0.3"/>
    <row r="1117" ht="20.05" customHeight="1" x14ac:dyDescent="0.3"/>
    <row r="1118" ht="20.05" customHeight="1" x14ac:dyDescent="0.3"/>
    <row r="1119" ht="20.05" customHeight="1" x14ac:dyDescent="0.3"/>
    <row r="1120" ht="20.05" customHeight="1" x14ac:dyDescent="0.3"/>
    <row r="1121" ht="20.05" customHeight="1" x14ac:dyDescent="0.3"/>
    <row r="1122" ht="20.05" customHeight="1" x14ac:dyDescent="0.3"/>
    <row r="1123" ht="20.05" customHeight="1" x14ac:dyDescent="0.3"/>
    <row r="1124" ht="20.05" customHeight="1" x14ac:dyDescent="0.3"/>
    <row r="1125" ht="20.05" customHeight="1" x14ac:dyDescent="0.3"/>
    <row r="1126" ht="20.05" customHeight="1" x14ac:dyDescent="0.3"/>
    <row r="1127" ht="20.05" customHeight="1" x14ac:dyDescent="0.3"/>
    <row r="1128" ht="20.05" customHeight="1" x14ac:dyDescent="0.3"/>
    <row r="1129" ht="20.05" customHeight="1" x14ac:dyDescent="0.3"/>
    <row r="1130" ht="20.05" customHeight="1" x14ac:dyDescent="0.3"/>
    <row r="1131" ht="20.05" customHeight="1" x14ac:dyDescent="0.3"/>
    <row r="1132" ht="20.05" customHeight="1" x14ac:dyDescent="0.3"/>
    <row r="1133" ht="20.05" customHeight="1" x14ac:dyDescent="0.3"/>
    <row r="1134" ht="20.05" customHeight="1" x14ac:dyDescent="0.3"/>
    <row r="1135" ht="20.05" customHeight="1" x14ac:dyDescent="0.3"/>
    <row r="1136" ht="20.05" customHeight="1" x14ac:dyDescent="0.3"/>
    <row r="1137" ht="20.05" customHeight="1" x14ac:dyDescent="0.3"/>
    <row r="1138" ht="20.05" customHeight="1" x14ac:dyDescent="0.3"/>
    <row r="1139" ht="20.05" customHeight="1" x14ac:dyDescent="0.3"/>
    <row r="1140" ht="20.05" customHeight="1" x14ac:dyDescent="0.3"/>
    <row r="1141" ht="20.05" customHeight="1" x14ac:dyDescent="0.3"/>
    <row r="1142" ht="20.05" customHeight="1" x14ac:dyDescent="0.3"/>
    <row r="1143" ht="20.05" customHeight="1" x14ac:dyDescent="0.3"/>
    <row r="1144" ht="20.05" customHeight="1" x14ac:dyDescent="0.3"/>
    <row r="1145" ht="20.05" customHeight="1" x14ac:dyDescent="0.3"/>
    <row r="1146" ht="20.05" customHeight="1" x14ac:dyDescent="0.3"/>
    <row r="1147" ht="20.05" customHeight="1" x14ac:dyDescent="0.3"/>
    <row r="1148" ht="20.05" customHeight="1" x14ac:dyDescent="0.3"/>
    <row r="1149" ht="20.05" customHeight="1" x14ac:dyDescent="0.3"/>
    <row r="1150" ht="20.05" customHeight="1" x14ac:dyDescent="0.3"/>
    <row r="1151" ht="20.05" customHeight="1" x14ac:dyDescent="0.3"/>
    <row r="1152" ht="20.05" customHeight="1" x14ac:dyDescent="0.3"/>
    <row r="1153" ht="20.05" customHeight="1" x14ac:dyDescent="0.3"/>
    <row r="1154" ht="20.05" customHeight="1" x14ac:dyDescent="0.3"/>
    <row r="1155" ht="20.05" customHeight="1" x14ac:dyDescent="0.3"/>
    <row r="1156" ht="20.05" customHeight="1" x14ac:dyDescent="0.3"/>
    <row r="1157" ht="20.05" customHeight="1" x14ac:dyDescent="0.3"/>
    <row r="1158" ht="20.05" customHeight="1" x14ac:dyDescent="0.3"/>
    <row r="1159" ht="20.05" customHeight="1" x14ac:dyDescent="0.3"/>
    <row r="1160" ht="20.05" customHeight="1" x14ac:dyDescent="0.3"/>
    <row r="1161" ht="20.05" customHeight="1" x14ac:dyDescent="0.3"/>
    <row r="1162" ht="20.05" customHeight="1" x14ac:dyDescent="0.3"/>
    <row r="1163" ht="20.05" customHeight="1" x14ac:dyDescent="0.3"/>
    <row r="1164" ht="20.05" customHeight="1" x14ac:dyDescent="0.3"/>
    <row r="1165" ht="20.05" customHeight="1" x14ac:dyDescent="0.3"/>
    <row r="1166" ht="20.05" customHeight="1" x14ac:dyDescent="0.3"/>
    <row r="1167" ht="20.05" customHeight="1" x14ac:dyDescent="0.3"/>
    <row r="1168" ht="20.05" customHeight="1" x14ac:dyDescent="0.3"/>
    <row r="1169" ht="20.05" customHeight="1" x14ac:dyDescent="0.3"/>
    <row r="1170" ht="20.05" customHeight="1" x14ac:dyDescent="0.3"/>
    <row r="1171" ht="20.05" customHeight="1" x14ac:dyDescent="0.3"/>
    <row r="1172" ht="20.05" customHeight="1" x14ac:dyDescent="0.3"/>
    <row r="1173" ht="20.05" customHeight="1" x14ac:dyDescent="0.3"/>
    <row r="1174" ht="20.05" customHeight="1" x14ac:dyDescent="0.3"/>
    <row r="1175" ht="20.05" customHeight="1" x14ac:dyDescent="0.3"/>
    <row r="1176" ht="20.05" customHeight="1" x14ac:dyDescent="0.3"/>
    <row r="1177" ht="20.05" customHeight="1" x14ac:dyDescent="0.3"/>
    <row r="1178" ht="20.05" customHeight="1" x14ac:dyDescent="0.3"/>
    <row r="1179" ht="20.05" customHeight="1" x14ac:dyDescent="0.3"/>
    <row r="1180" ht="20.05" customHeight="1" x14ac:dyDescent="0.3"/>
    <row r="1181" ht="20.05" customHeight="1" x14ac:dyDescent="0.3"/>
    <row r="1182" ht="20.05" customHeight="1" x14ac:dyDescent="0.3"/>
    <row r="1183" ht="20.05" customHeight="1" x14ac:dyDescent="0.3"/>
    <row r="1184" ht="20.05" customHeight="1" x14ac:dyDescent="0.3"/>
    <row r="1185" ht="20.05" customHeight="1" x14ac:dyDescent="0.3"/>
    <row r="1186" ht="20.05" customHeight="1" x14ac:dyDescent="0.3"/>
    <row r="1187" ht="20.05" customHeight="1" x14ac:dyDescent="0.3"/>
    <row r="1188" ht="20.05" customHeight="1" x14ac:dyDescent="0.3"/>
    <row r="1189" ht="20.05" customHeight="1" x14ac:dyDescent="0.3"/>
    <row r="1190" ht="20.05" customHeight="1" x14ac:dyDescent="0.3"/>
    <row r="1191" ht="20.05" customHeight="1" x14ac:dyDescent="0.3"/>
    <row r="1192" ht="20.05" customHeight="1" x14ac:dyDescent="0.3"/>
    <row r="1193" ht="20.05" customHeight="1" x14ac:dyDescent="0.3"/>
    <row r="1194" ht="20.05" customHeight="1" x14ac:dyDescent="0.3"/>
    <row r="1195" ht="20.05" customHeight="1" x14ac:dyDescent="0.3"/>
    <row r="1196" ht="20.05" customHeight="1" x14ac:dyDescent="0.3"/>
    <row r="1197" ht="20.05" customHeight="1" x14ac:dyDescent="0.3"/>
    <row r="1198" ht="20.05" customHeight="1" x14ac:dyDescent="0.3"/>
    <row r="1199" ht="20.05" customHeight="1" x14ac:dyDescent="0.3"/>
    <row r="1200" ht="20.05" customHeight="1" x14ac:dyDescent="0.3"/>
    <row r="1201" ht="20.05" customHeight="1" x14ac:dyDescent="0.3"/>
    <row r="1202" ht="20.05" customHeight="1" x14ac:dyDescent="0.3"/>
    <row r="1203" ht="20.05" customHeight="1" x14ac:dyDescent="0.3"/>
    <row r="1204" ht="20.05" customHeight="1" x14ac:dyDescent="0.3"/>
    <row r="1205" ht="20.05" customHeight="1" x14ac:dyDescent="0.3"/>
    <row r="1206" ht="20.05" customHeight="1" x14ac:dyDescent="0.3"/>
    <row r="1207" ht="20.05" customHeight="1" x14ac:dyDescent="0.3"/>
    <row r="1208" ht="20.05" customHeight="1" x14ac:dyDescent="0.3"/>
    <row r="1209" ht="20.05" customHeight="1" x14ac:dyDescent="0.3"/>
    <row r="1210" ht="20.05" customHeight="1" x14ac:dyDescent="0.3"/>
    <row r="1211" ht="20.05" customHeight="1" x14ac:dyDescent="0.3"/>
    <row r="1212" ht="20.05" customHeight="1" x14ac:dyDescent="0.3"/>
    <row r="1213" ht="20.05" customHeight="1" x14ac:dyDescent="0.3"/>
    <row r="1214" ht="20.05" customHeight="1" x14ac:dyDescent="0.3"/>
    <row r="1215" ht="20.05" customHeight="1" x14ac:dyDescent="0.3"/>
    <row r="1216" ht="20.05" customHeight="1" x14ac:dyDescent="0.3"/>
    <row r="1217" ht="20.05" customHeight="1" x14ac:dyDescent="0.3"/>
    <row r="1218" ht="20.05" customHeight="1" x14ac:dyDescent="0.3"/>
    <row r="1219" ht="20.05" customHeight="1" x14ac:dyDescent="0.3"/>
    <row r="1220" ht="20.05" customHeight="1" x14ac:dyDescent="0.3"/>
    <row r="1221" ht="20.05" customHeight="1" x14ac:dyDescent="0.3"/>
    <row r="1222" ht="20.05" customHeight="1" x14ac:dyDescent="0.3"/>
    <row r="1223" ht="20.05" customHeight="1" x14ac:dyDescent="0.3"/>
    <row r="1224" ht="20.05" customHeight="1" x14ac:dyDescent="0.3"/>
    <row r="1225" ht="20.05" customHeight="1" x14ac:dyDescent="0.3"/>
    <row r="1226" ht="20.05" customHeight="1" x14ac:dyDescent="0.3"/>
    <row r="1227" ht="20.05" customHeight="1" x14ac:dyDescent="0.3"/>
    <row r="1228" ht="20.05" customHeight="1" x14ac:dyDescent="0.3"/>
    <row r="1229" ht="20.05" customHeight="1" x14ac:dyDescent="0.3"/>
    <row r="1230" ht="20.05" customHeight="1" x14ac:dyDescent="0.3"/>
    <row r="1231" ht="20.05" customHeight="1" x14ac:dyDescent="0.3"/>
    <row r="1232" ht="20.05" customHeight="1" x14ac:dyDescent="0.3"/>
    <row r="1233" ht="20.05" customHeight="1" x14ac:dyDescent="0.3"/>
    <row r="1234" ht="20.05" customHeight="1" x14ac:dyDescent="0.3"/>
    <row r="1235" ht="20.05" customHeight="1" x14ac:dyDescent="0.3"/>
    <row r="1236" ht="20.05" customHeight="1" x14ac:dyDescent="0.3"/>
    <row r="1237" ht="20.05" customHeight="1" x14ac:dyDescent="0.3"/>
    <row r="1238" ht="20.05" customHeight="1" x14ac:dyDescent="0.3"/>
    <row r="1239" ht="20.05" customHeight="1" x14ac:dyDescent="0.3"/>
    <row r="1240" ht="20.05" customHeight="1" x14ac:dyDescent="0.3"/>
    <row r="1241" ht="20.05" customHeight="1" x14ac:dyDescent="0.3"/>
    <row r="1242" ht="20.05" customHeight="1" x14ac:dyDescent="0.3"/>
    <row r="1243" ht="20.05" customHeight="1" x14ac:dyDescent="0.3"/>
    <row r="1244" ht="20.05" customHeight="1" x14ac:dyDescent="0.3"/>
    <row r="1245" ht="20.05" customHeight="1" x14ac:dyDescent="0.3"/>
    <row r="1246" ht="20.05" customHeight="1" x14ac:dyDescent="0.3"/>
    <row r="1247" ht="20.05" customHeight="1" x14ac:dyDescent="0.3"/>
    <row r="1248" ht="20.05" customHeight="1" x14ac:dyDescent="0.3"/>
    <row r="1249" ht="20.05" customHeight="1" x14ac:dyDescent="0.3"/>
    <row r="1250" ht="20.05" customHeight="1" x14ac:dyDescent="0.3"/>
    <row r="1251" ht="20.05" customHeight="1" x14ac:dyDescent="0.3"/>
    <row r="1252" ht="20.05" customHeight="1" x14ac:dyDescent="0.3"/>
    <row r="1253" ht="20.05" customHeight="1" x14ac:dyDescent="0.3"/>
    <row r="1254" ht="20.05" customHeight="1" x14ac:dyDescent="0.3"/>
    <row r="1255" ht="20.05" customHeight="1" x14ac:dyDescent="0.3"/>
    <row r="1256" ht="20.05" customHeight="1" x14ac:dyDescent="0.3"/>
    <row r="1257" ht="20.05" customHeight="1" x14ac:dyDescent="0.3"/>
    <row r="1258" ht="20.05" customHeight="1" x14ac:dyDescent="0.3"/>
    <row r="1259" ht="20.05" customHeight="1" x14ac:dyDescent="0.3"/>
    <row r="1260" ht="20.05" customHeight="1" x14ac:dyDescent="0.3"/>
    <row r="1261" ht="20.05" customHeight="1" x14ac:dyDescent="0.3"/>
    <row r="1262" ht="20.05" customHeight="1" x14ac:dyDescent="0.3"/>
    <row r="1263" ht="20.05" customHeight="1" x14ac:dyDescent="0.3"/>
    <row r="1264" ht="20.05" customHeight="1" x14ac:dyDescent="0.3"/>
    <row r="1265" ht="20.05" customHeight="1" x14ac:dyDescent="0.3"/>
    <row r="1266" ht="20.05" customHeight="1" x14ac:dyDescent="0.3"/>
    <row r="1267" ht="20.05" customHeight="1" x14ac:dyDescent="0.3"/>
    <row r="1268" ht="20.05" customHeight="1" x14ac:dyDescent="0.3"/>
    <row r="1269" ht="20.05" customHeight="1" x14ac:dyDescent="0.3"/>
    <row r="1270" ht="20.05" customHeight="1" x14ac:dyDescent="0.3"/>
    <row r="1271" ht="20.05" customHeight="1" x14ac:dyDescent="0.3"/>
    <row r="1272" ht="20.05" customHeight="1" x14ac:dyDescent="0.3"/>
    <row r="1273" ht="20.05" customHeight="1" x14ac:dyDescent="0.3"/>
    <row r="1274" ht="20.05" customHeight="1" x14ac:dyDescent="0.3"/>
    <row r="1275" ht="20.05" customHeight="1" x14ac:dyDescent="0.3"/>
    <row r="1276" ht="20.05" customHeight="1" x14ac:dyDescent="0.3"/>
    <row r="1277" ht="20.05" customHeight="1" x14ac:dyDescent="0.3"/>
    <row r="1278" ht="20.05" customHeight="1" x14ac:dyDescent="0.3"/>
    <row r="1279" ht="20.05" customHeight="1" x14ac:dyDescent="0.3"/>
    <row r="1280" ht="20.05" customHeight="1" x14ac:dyDescent="0.3"/>
    <row r="1281" ht="20.05" customHeight="1" x14ac:dyDescent="0.3"/>
    <row r="1282" ht="20.05" customHeight="1" x14ac:dyDescent="0.3"/>
    <row r="1283" ht="20.05" customHeight="1" x14ac:dyDescent="0.3"/>
    <row r="1284" ht="20.05" customHeight="1" x14ac:dyDescent="0.3"/>
    <row r="1285" ht="20.05" customHeight="1" x14ac:dyDescent="0.3"/>
    <row r="1286" ht="20.05" customHeight="1" x14ac:dyDescent="0.3"/>
    <row r="1287" ht="20.05" customHeight="1" x14ac:dyDescent="0.3"/>
    <row r="1288" ht="20.05" customHeight="1" x14ac:dyDescent="0.3"/>
    <row r="1289" ht="20.05" customHeight="1" x14ac:dyDescent="0.3"/>
    <row r="1290" ht="20.05" customHeight="1" x14ac:dyDescent="0.3"/>
    <row r="1291" ht="20.05" customHeight="1" x14ac:dyDescent="0.3"/>
    <row r="1292" ht="20.05" customHeight="1" x14ac:dyDescent="0.3"/>
    <row r="1293" ht="20.05" customHeight="1" x14ac:dyDescent="0.3"/>
    <row r="1294" ht="20.05" customHeight="1" x14ac:dyDescent="0.3"/>
    <row r="1295" ht="20.05" customHeight="1" x14ac:dyDescent="0.3"/>
    <row r="1296" ht="20.05" customHeight="1" x14ac:dyDescent="0.3"/>
    <row r="1297" ht="20.05" customHeight="1" x14ac:dyDescent="0.3"/>
    <row r="1298" ht="20.05" customHeight="1" x14ac:dyDescent="0.3"/>
    <row r="1299" ht="20.05" customHeight="1" x14ac:dyDescent="0.3"/>
    <row r="1300" ht="20.05" customHeight="1" x14ac:dyDescent="0.3"/>
    <row r="1301" ht="20.05" customHeight="1" x14ac:dyDescent="0.3"/>
    <row r="1302" ht="20.05" customHeight="1" x14ac:dyDescent="0.3"/>
    <row r="1303" ht="20.05" customHeight="1" x14ac:dyDescent="0.3"/>
    <row r="1304" ht="20.05" customHeight="1" x14ac:dyDescent="0.3"/>
    <row r="1305" ht="20.05" customHeight="1" x14ac:dyDescent="0.3"/>
    <row r="1306" ht="20.05" customHeight="1" x14ac:dyDescent="0.3"/>
    <row r="1307" ht="20.05" customHeight="1" x14ac:dyDescent="0.3"/>
    <row r="1308" ht="20.05" customHeight="1" x14ac:dyDescent="0.3"/>
    <row r="1309" ht="20.05" customHeight="1" x14ac:dyDescent="0.3"/>
    <row r="1310" ht="20.05" customHeight="1" x14ac:dyDescent="0.3"/>
    <row r="1311" ht="20.05" customHeight="1" x14ac:dyDescent="0.3"/>
    <row r="1312" ht="20.05" customHeight="1" x14ac:dyDescent="0.3"/>
    <row r="1313" ht="20.05" customHeight="1" x14ac:dyDescent="0.3"/>
    <row r="1314" ht="20.05" customHeight="1" x14ac:dyDescent="0.3"/>
    <row r="1315" ht="20.05" customHeight="1" x14ac:dyDescent="0.3"/>
    <row r="1316" ht="20.05" customHeight="1" x14ac:dyDescent="0.3"/>
    <row r="1317" ht="20.05" customHeight="1" x14ac:dyDescent="0.3"/>
    <row r="1318" ht="20.05" customHeight="1" x14ac:dyDescent="0.3"/>
    <row r="1319" ht="20.05" customHeight="1" x14ac:dyDescent="0.3"/>
    <row r="1320" ht="20.05" customHeight="1" x14ac:dyDescent="0.3"/>
    <row r="1321" ht="20.05" customHeight="1" x14ac:dyDescent="0.3"/>
    <row r="1322" ht="20.05" customHeight="1" x14ac:dyDescent="0.3"/>
    <row r="1323" ht="20.05" customHeight="1" x14ac:dyDescent="0.3"/>
    <row r="1324" ht="20.05" customHeight="1" x14ac:dyDescent="0.3"/>
    <row r="1325" ht="20.05" customHeight="1" x14ac:dyDescent="0.3"/>
    <row r="1326" ht="20.05" customHeight="1" x14ac:dyDescent="0.3"/>
    <row r="1327" ht="20.05" customHeight="1" x14ac:dyDescent="0.3"/>
    <row r="1328" ht="20.05" customHeight="1" x14ac:dyDescent="0.3"/>
    <row r="1329" ht="20.05" customHeight="1" x14ac:dyDescent="0.3"/>
    <row r="1330" ht="20.05" customHeight="1" x14ac:dyDescent="0.3"/>
    <row r="1331" ht="20.05" customHeight="1" x14ac:dyDescent="0.3"/>
    <row r="1332" ht="20.05" customHeight="1" x14ac:dyDescent="0.3"/>
    <row r="1333" ht="20.05" customHeight="1" x14ac:dyDescent="0.3"/>
    <row r="1334" ht="20.05" customHeight="1" x14ac:dyDescent="0.3"/>
    <row r="1335" ht="20.05" customHeight="1" x14ac:dyDescent="0.3"/>
    <row r="1336" ht="20.05" customHeight="1" x14ac:dyDescent="0.3"/>
    <row r="1337" ht="20.05" customHeight="1" x14ac:dyDescent="0.3"/>
    <row r="1338" ht="20.05" customHeight="1" x14ac:dyDescent="0.3"/>
    <row r="1339" ht="20.05" customHeight="1" x14ac:dyDescent="0.3"/>
    <row r="1340" ht="20.05" customHeight="1" x14ac:dyDescent="0.3"/>
    <row r="1341" ht="20.05" customHeight="1" x14ac:dyDescent="0.3"/>
    <row r="1342" ht="20.05" customHeight="1" x14ac:dyDescent="0.3"/>
    <row r="1343" ht="20.05" customHeight="1" x14ac:dyDescent="0.3"/>
    <row r="1344" ht="20.05" customHeight="1" x14ac:dyDescent="0.3"/>
    <row r="1345" ht="20.05" customHeight="1" x14ac:dyDescent="0.3"/>
    <row r="1346" ht="20.05" customHeight="1" x14ac:dyDescent="0.3"/>
    <row r="1347" ht="20.05" customHeight="1" x14ac:dyDescent="0.3"/>
    <row r="1348" ht="20.05" customHeight="1" x14ac:dyDescent="0.3"/>
    <row r="1349" ht="20.05" customHeight="1" x14ac:dyDescent="0.3"/>
    <row r="1350" ht="20.05" customHeight="1" x14ac:dyDescent="0.3"/>
    <row r="1351" ht="20.05" customHeight="1" x14ac:dyDescent="0.3"/>
    <row r="1352" ht="20.05" customHeight="1" x14ac:dyDescent="0.3"/>
    <row r="1353" ht="20.05" customHeight="1" x14ac:dyDescent="0.3"/>
    <row r="1354" ht="20.05" customHeight="1" x14ac:dyDescent="0.3"/>
    <row r="1355" ht="20.05" customHeight="1" x14ac:dyDescent="0.3"/>
    <row r="1356" ht="20.05" customHeight="1" x14ac:dyDescent="0.3"/>
    <row r="1357" ht="20.05" customHeight="1" x14ac:dyDescent="0.3"/>
    <row r="1358" ht="20.05" customHeight="1" x14ac:dyDescent="0.3"/>
    <row r="1359" ht="20.05" customHeight="1" x14ac:dyDescent="0.3"/>
    <row r="1360" ht="20.05" customHeight="1" x14ac:dyDescent="0.3"/>
    <row r="1361" ht="20.05" customHeight="1" x14ac:dyDescent="0.3"/>
    <row r="1362" ht="20.05" customHeight="1" x14ac:dyDescent="0.3"/>
    <row r="1363" ht="20.05" customHeight="1" x14ac:dyDescent="0.3"/>
    <row r="1364" ht="20.05" customHeight="1" x14ac:dyDescent="0.3"/>
    <row r="1365" ht="20.05" customHeight="1" x14ac:dyDescent="0.3"/>
    <row r="1366" ht="20.05" customHeight="1" x14ac:dyDescent="0.3"/>
    <row r="1367" ht="20.05" customHeight="1" x14ac:dyDescent="0.3"/>
    <row r="1368" ht="20.05" customHeight="1" x14ac:dyDescent="0.3"/>
    <row r="1369" ht="20.05" customHeight="1" x14ac:dyDescent="0.3"/>
    <row r="1370" ht="20.05" customHeight="1" x14ac:dyDescent="0.3"/>
    <row r="1371" ht="20.05" customHeight="1" x14ac:dyDescent="0.3"/>
    <row r="1372" ht="20.05" customHeight="1" x14ac:dyDescent="0.3"/>
    <row r="1373" ht="20.05" customHeight="1" x14ac:dyDescent="0.3"/>
    <row r="1374" ht="20.05" customHeight="1" x14ac:dyDescent="0.3"/>
    <row r="1375" ht="20.05" customHeight="1" x14ac:dyDescent="0.3"/>
    <row r="1376" ht="20.05" customHeight="1" x14ac:dyDescent="0.3"/>
    <row r="1377" ht="20.05" customHeight="1" x14ac:dyDescent="0.3"/>
    <row r="1378" ht="20.05" customHeight="1" x14ac:dyDescent="0.3"/>
    <row r="1379" ht="20.05" customHeight="1" x14ac:dyDescent="0.3"/>
    <row r="1380" ht="20.05" customHeight="1" x14ac:dyDescent="0.3"/>
    <row r="1381" ht="20.05" customHeight="1" x14ac:dyDescent="0.3"/>
    <row r="1382" ht="20.05" customHeight="1" x14ac:dyDescent="0.3"/>
    <row r="1383" ht="20.05" customHeight="1" x14ac:dyDescent="0.3"/>
    <row r="1384" ht="20.05" customHeight="1" x14ac:dyDescent="0.3"/>
    <row r="1385" ht="20.05" customHeight="1" x14ac:dyDescent="0.3"/>
    <row r="1386" ht="20.05" customHeight="1" x14ac:dyDescent="0.3"/>
    <row r="1387" ht="20.05" customHeight="1" x14ac:dyDescent="0.3"/>
    <row r="1388" ht="20.05" customHeight="1" x14ac:dyDescent="0.3"/>
    <row r="1389" ht="20.05" customHeight="1" x14ac:dyDescent="0.3"/>
    <row r="1390" ht="20.05" customHeight="1" x14ac:dyDescent="0.3"/>
    <row r="1391" ht="20.05" customHeight="1" x14ac:dyDescent="0.3"/>
    <row r="1392" ht="20.05" customHeight="1" x14ac:dyDescent="0.3"/>
    <row r="1393" ht="20.05" customHeight="1" x14ac:dyDescent="0.3"/>
    <row r="1394" ht="20.05" customHeight="1" x14ac:dyDescent="0.3"/>
    <row r="1395" ht="20.05" customHeight="1" x14ac:dyDescent="0.3"/>
    <row r="1396" ht="20.05" customHeight="1" x14ac:dyDescent="0.3"/>
    <row r="1397" ht="20.05" customHeight="1" x14ac:dyDescent="0.3"/>
    <row r="1398" ht="20.05" customHeight="1" x14ac:dyDescent="0.3"/>
    <row r="1399" ht="20.05" customHeight="1" x14ac:dyDescent="0.3"/>
    <row r="1400" ht="20.05" customHeight="1" x14ac:dyDescent="0.3"/>
    <row r="1401" ht="20.05" customHeight="1" x14ac:dyDescent="0.3"/>
    <row r="1402" ht="20.05" customHeight="1" x14ac:dyDescent="0.3"/>
    <row r="1403" ht="20.05" customHeight="1" x14ac:dyDescent="0.3"/>
    <row r="1404" ht="20.05" customHeight="1" x14ac:dyDescent="0.3"/>
    <row r="1405" ht="20.05" customHeight="1" x14ac:dyDescent="0.3"/>
    <row r="1406" ht="20.05" customHeight="1" x14ac:dyDescent="0.3"/>
    <row r="1407" ht="20.05" customHeight="1" x14ac:dyDescent="0.3"/>
    <row r="1408" ht="20.05" customHeight="1" x14ac:dyDescent="0.3"/>
    <row r="1409" ht="20.05" customHeight="1" x14ac:dyDescent="0.3"/>
    <row r="1410" ht="20.05" customHeight="1" x14ac:dyDescent="0.3"/>
    <row r="1411" ht="20.05" customHeight="1" x14ac:dyDescent="0.3"/>
    <row r="1412" ht="20.05" customHeight="1" x14ac:dyDescent="0.3"/>
    <row r="1413" ht="20.05" customHeight="1" x14ac:dyDescent="0.3"/>
    <row r="1414" ht="20.05" customHeight="1" x14ac:dyDescent="0.3"/>
    <row r="1415" ht="20.05" customHeight="1" x14ac:dyDescent="0.3"/>
    <row r="1416" ht="20.05" customHeight="1" x14ac:dyDescent="0.3"/>
    <row r="1417" ht="20.05" customHeight="1" x14ac:dyDescent="0.3"/>
    <row r="1418" ht="20.05" customHeight="1" x14ac:dyDescent="0.3"/>
    <row r="1419" ht="20.05" customHeight="1" x14ac:dyDescent="0.3"/>
    <row r="1420" ht="20.05" customHeight="1" x14ac:dyDescent="0.3"/>
    <row r="1421" ht="20.05" customHeight="1" x14ac:dyDescent="0.3"/>
    <row r="1422" ht="20.05" customHeight="1" x14ac:dyDescent="0.3"/>
    <row r="1423" ht="20.05" customHeight="1" x14ac:dyDescent="0.3"/>
    <row r="1424" ht="20.05" customHeight="1" x14ac:dyDescent="0.3"/>
    <row r="1425" ht="20.05" customHeight="1" x14ac:dyDescent="0.3"/>
    <row r="1426" ht="20.05" customHeight="1" x14ac:dyDescent="0.3"/>
    <row r="1427" ht="20.05" customHeight="1" x14ac:dyDescent="0.3"/>
    <row r="1428" ht="20.05" customHeight="1" x14ac:dyDescent="0.3"/>
    <row r="1429" ht="20.05" customHeight="1" x14ac:dyDescent="0.3"/>
    <row r="1430" ht="20.05" customHeight="1" x14ac:dyDescent="0.3"/>
    <row r="1431" ht="20.05" customHeight="1" x14ac:dyDescent="0.3"/>
    <row r="1432" ht="20.05" customHeight="1" x14ac:dyDescent="0.3"/>
    <row r="1433" ht="20.05" customHeight="1" x14ac:dyDescent="0.3"/>
    <row r="1434" ht="20.05" customHeight="1" x14ac:dyDescent="0.3"/>
    <row r="1435" ht="20.05" customHeight="1" x14ac:dyDescent="0.3"/>
    <row r="1436" ht="20.05" customHeight="1" x14ac:dyDescent="0.3"/>
    <row r="1437" ht="20.05" customHeight="1" x14ac:dyDescent="0.3"/>
    <row r="1438" ht="20.05" customHeight="1" x14ac:dyDescent="0.3"/>
    <row r="1439" ht="20.05" customHeight="1" x14ac:dyDescent="0.3"/>
    <row r="1440" ht="20.05" customHeight="1" x14ac:dyDescent="0.3"/>
    <row r="1441" ht="20.05" customHeight="1" x14ac:dyDescent="0.3"/>
    <row r="1442" ht="20.05" customHeight="1" x14ac:dyDescent="0.3"/>
    <row r="1443" ht="20.05" customHeight="1" x14ac:dyDescent="0.3"/>
    <row r="1444" ht="20.05" customHeight="1" x14ac:dyDescent="0.3"/>
    <row r="1445" ht="20.05" customHeight="1" x14ac:dyDescent="0.3"/>
    <row r="1446" ht="20.05" customHeight="1" x14ac:dyDescent="0.3"/>
    <row r="1447" ht="20.05" customHeight="1" x14ac:dyDescent="0.3"/>
    <row r="1448" ht="20.05" customHeight="1" x14ac:dyDescent="0.3"/>
    <row r="1449" ht="20.05" customHeight="1" x14ac:dyDescent="0.3"/>
    <row r="1450" ht="20.05" customHeight="1" x14ac:dyDescent="0.3"/>
    <row r="1451" ht="20.05" customHeight="1" x14ac:dyDescent="0.3"/>
    <row r="1452" ht="20.05" customHeight="1" x14ac:dyDescent="0.3"/>
    <row r="1453" ht="20.05" customHeight="1" x14ac:dyDescent="0.3"/>
    <row r="1454" ht="20.05" customHeight="1" x14ac:dyDescent="0.3"/>
    <row r="1455" ht="20.05" customHeight="1" x14ac:dyDescent="0.3"/>
    <row r="1456" ht="20.05" customHeight="1" x14ac:dyDescent="0.3"/>
    <row r="1457" ht="20.05" customHeight="1" x14ac:dyDescent="0.3"/>
    <row r="1458" ht="20.05" customHeight="1" x14ac:dyDescent="0.3"/>
    <row r="1459" ht="20.05" customHeight="1" x14ac:dyDescent="0.3"/>
    <row r="1460" ht="20.05" customHeight="1" x14ac:dyDescent="0.3"/>
    <row r="1461" ht="20.05" customHeight="1" x14ac:dyDescent="0.3"/>
    <row r="1462" ht="20.05" customHeight="1" x14ac:dyDescent="0.3"/>
    <row r="1463" ht="20.05" customHeight="1" x14ac:dyDescent="0.3"/>
    <row r="1464" ht="20.05" customHeight="1" x14ac:dyDescent="0.3"/>
    <row r="1465" ht="20.05" customHeight="1" x14ac:dyDescent="0.3"/>
    <row r="1466" ht="20.05" customHeight="1" x14ac:dyDescent="0.3"/>
    <row r="1467" ht="20.05" customHeight="1" x14ac:dyDescent="0.3"/>
    <row r="1468" ht="20.05" customHeight="1" x14ac:dyDescent="0.3"/>
    <row r="1469" ht="20.05" customHeight="1" x14ac:dyDescent="0.3"/>
    <row r="1470" ht="20.05" customHeight="1" x14ac:dyDescent="0.3"/>
    <row r="1471" ht="20.05" customHeight="1" x14ac:dyDescent="0.3"/>
    <row r="1472" ht="20.05" customHeight="1" x14ac:dyDescent="0.3"/>
    <row r="1473" ht="20.05" customHeight="1" x14ac:dyDescent="0.3"/>
    <row r="1474" ht="20.05" customHeight="1" x14ac:dyDescent="0.3"/>
    <row r="1475" ht="20.05" customHeight="1" x14ac:dyDescent="0.3"/>
    <row r="1476" ht="20.05" customHeight="1" x14ac:dyDescent="0.3"/>
    <row r="1477" ht="20.05" customHeight="1" x14ac:dyDescent="0.3"/>
    <row r="1478" ht="20.05" customHeight="1" x14ac:dyDescent="0.3"/>
    <row r="1479" ht="20.05" customHeight="1" x14ac:dyDescent="0.3"/>
    <row r="1480" ht="20.05" customHeight="1" x14ac:dyDescent="0.3"/>
    <row r="1481" ht="20.05" customHeight="1" x14ac:dyDescent="0.3"/>
    <row r="1482" ht="20.05" customHeight="1" x14ac:dyDescent="0.3"/>
    <row r="1483" ht="20.05" customHeight="1" x14ac:dyDescent="0.3"/>
    <row r="1484" ht="20.05" customHeight="1" x14ac:dyDescent="0.3"/>
    <row r="1485" ht="20.05" customHeight="1" x14ac:dyDescent="0.3"/>
    <row r="1486" ht="20.05" customHeight="1" x14ac:dyDescent="0.3"/>
    <row r="1487" ht="20.05" customHeight="1" x14ac:dyDescent="0.3"/>
    <row r="1488" ht="20.05" customHeight="1" x14ac:dyDescent="0.3"/>
    <row r="1489" ht="20.05" customHeight="1" x14ac:dyDescent="0.3"/>
    <row r="1490" ht="20.05" customHeight="1" x14ac:dyDescent="0.3"/>
    <row r="1491" ht="20.05" customHeight="1" x14ac:dyDescent="0.3"/>
    <row r="1492" ht="20.05" customHeight="1" x14ac:dyDescent="0.3"/>
    <row r="1493" ht="20.05" customHeight="1" x14ac:dyDescent="0.3"/>
    <row r="1494" ht="20.05" customHeight="1" x14ac:dyDescent="0.3"/>
    <row r="1495" ht="20.05" customHeight="1" x14ac:dyDescent="0.3"/>
    <row r="1496" ht="20.05" customHeight="1" x14ac:dyDescent="0.3"/>
    <row r="1497" ht="20.05" customHeight="1" x14ac:dyDescent="0.3"/>
    <row r="1498" ht="20.05" customHeight="1" x14ac:dyDescent="0.3"/>
    <row r="1499" ht="20.05" customHeight="1" x14ac:dyDescent="0.3"/>
    <row r="1500" ht="20.05" customHeight="1" x14ac:dyDescent="0.3"/>
    <row r="1501" ht="20.05" customHeight="1" x14ac:dyDescent="0.3"/>
    <row r="1502" ht="20.05" customHeight="1" x14ac:dyDescent="0.3"/>
    <row r="1503" ht="20.05" customHeight="1" x14ac:dyDescent="0.3"/>
    <row r="1504" ht="20.05" customHeight="1" x14ac:dyDescent="0.3"/>
    <row r="1505" ht="20.05" customHeight="1" x14ac:dyDescent="0.3"/>
    <row r="1506" ht="20.05" customHeight="1" x14ac:dyDescent="0.3"/>
    <row r="1507" ht="20.05" customHeight="1" x14ac:dyDescent="0.3"/>
    <row r="1508" ht="20.05" customHeight="1" x14ac:dyDescent="0.3"/>
    <row r="1509" ht="20.05" customHeight="1" x14ac:dyDescent="0.3"/>
    <row r="1510" ht="20.05" customHeight="1" x14ac:dyDescent="0.3"/>
    <row r="1511" ht="20.05" customHeight="1" x14ac:dyDescent="0.3"/>
    <row r="1512" ht="20.05" customHeight="1" x14ac:dyDescent="0.3"/>
    <row r="1513" ht="20.05" customHeight="1" x14ac:dyDescent="0.3"/>
    <row r="1514" ht="20.05" customHeight="1" x14ac:dyDescent="0.3"/>
    <row r="1515" ht="20.05" customHeight="1" x14ac:dyDescent="0.3"/>
    <row r="1516" ht="20.05" customHeight="1" x14ac:dyDescent="0.3"/>
    <row r="1517" ht="20.05" customHeight="1" x14ac:dyDescent="0.3"/>
    <row r="1518" ht="20.05" customHeight="1" x14ac:dyDescent="0.3"/>
    <row r="1519" ht="20.05" customHeight="1" x14ac:dyDescent="0.3"/>
    <row r="1520" ht="20.05" customHeight="1" x14ac:dyDescent="0.3"/>
    <row r="1521" ht="20.05" customHeight="1" x14ac:dyDescent="0.3"/>
    <row r="1522" ht="20.05" customHeight="1" x14ac:dyDescent="0.3"/>
    <row r="1523" ht="20.05" customHeight="1" x14ac:dyDescent="0.3"/>
    <row r="1524" ht="20.05" customHeight="1" x14ac:dyDescent="0.3"/>
    <row r="1525" ht="20.05" customHeight="1" x14ac:dyDescent="0.3"/>
    <row r="1526" ht="20.05" customHeight="1" x14ac:dyDescent="0.3"/>
    <row r="1527" ht="20.05" customHeight="1" x14ac:dyDescent="0.3"/>
    <row r="1528" ht="20.05" customHeight="1" x14ac:dyDescent="0.3"/>
    <row r="1529" ht="20.05" customHeight="1" x14ac:dyDescent="0.3"/>
    <row r="1530" ht="20.05" customHeight="1" x14ac:dyDescent="0.3"/>
    <row r="1531" ht="20.05" customHeight="1" x14ac:dyDescent="0.3"/>
    <row r="1532" ht="20.05" customHeight="1" x14ac:dyDescent="0.3"/>
    <row r="1533" ht="20.05" customHeight="1" x14ac:dyDescent="0.3"/>
    <row r="1534" ht="20.05" customHeight="1" x14ac:dyDescent="0.3"/>
    <row r="1535" ht="20.05" customHeight="1" x14ac:dyDescent="0.3"/>
    <row r="1536" ht="20.05" customHeight="1" x14ac:dyDescent="0.3"/>
    <row r="1537" ht="20.05" customHeight="1" x14ac:dyDescent="0.3"/>
    <row r="1538" ht="20.05" customHeight="1" x14ac:dyDescent="0.3"/>
    <row r="1539" ht="20.05" customHeight="1" x14ac:dyDescent="0.3"/>
    <row r="1540" ht="20.05" customHeight="1" x14ac:dyDescent="0.3"/>
    <row r="1541" ht="20.05" customHeight="1" x14ac:dyDescent="0.3"/>
    <row r="1542" ht="20.05" customHeight="1" x14ac:dyDescent="0.3"/>
    <row r="1543" ht="20.05" customHeight="1" x14ac:dyDescent="0.3"/>
    <row r="1544" ht="20.05" customHeight="1" x14ac:dyDescent="0.3"/>
    <row r="1545" ht="20.05" customHeight="1" x14ac:dyDescent="0.3"/>
    <row r="1546" ht="20.05" customHeight="1" x14ac:dyDescent="0.3"/>
    <row r="1547" ht="20.05" customHeight="1" x14ac:dyDescent="0.3"/>
    <row r="1548" ht="20.05" customHeight="1" x14ac:dyDescent="0.3"/>
    <row r="1549" ht="20.05" customHeight="1" x14ac:dyDescent="0.3"/>
    <row r="1550" ht="20.05" customHeight="1" x14ac:dyDescent="0.3"/>
    <row r="1551" ht="20.05" customHeight="1" x14ac:dyDescent="0.3"/>
    <row r="1552" ht="20.05" customHeight="1" x14ac:dyDescent="0.3"/>
    <row r="1553" ht="20.05" customHeight="1" x14ac:dyDescent="0.3"/>
    <row r="1554" ht="20.05" customHeight="1" x14ac:dyDescent="0.3"/>
    <row r="1555" ht="20.05" customHeight="1" x14ac:dyDescent="0.3"/>
    <row r="1556" ht="20.05" customHeight="1" x14ac:dyDescent="0.3"/>
    <row r="1557" ht="20.05" customHeight="1" x14ac:dyDescent="0.3"/>
    <row r="1558" ht="20.05" customHeight="1" x14ac:dyDescent="0.3"/>
    <row r="1559" ht="20.05" customHeight="1" x14ac:dyDescent="0.3"/>
    <row r="1560" ht="20.05" customHeight="1" x14ac:dyDescent="0.3"/>
    <row r="1561" ht="20.05" customHeight="1" x14ac:dyDescent="0.3"/>
    <row r="1562" ht="20.05" customHeight="1" x14ac:dyDescent="0.3"/>
    <row r="1563" ht="20.05" customHeight="1" x14ac:dyDescent="0.3"/>
    <row r="1564" ht="20.05" customHeight="1" x14ac:dyDescent="0.3"/>
    <row r="1565" ht="20.05" customHeight="1" x14ac:dyDescent="0.3"/>
    <row r="1566" ht="20.05" customHeight="1" x14ac:dyDescent="0.3"/>
    <row r="1567" ht="20.05" customHeight="1" x14ac:dyDescent="0.3"/>
    <row r="1568" ht="20.05" customHeight="1" x14ac:dyDescent="0.3"/>
    <row r="1569" ht="20.05" customHeight="1" x14ac:dyDescent="0.3"/>
    <row r="1570" ht="20.05" customHeight="1" x14ac:dyDescent="0.3"/>
    <row r="1571" ht="20.05" customHeight="1" x14ac:dyDescent="0.3"/>
    <row r="1572" ht="20.05" customHeight="1" x14ac:dyDescent="0.3"/>
    <row r="1573" ht="20.05" customHeight="1" x14ac:dyDescent="0.3"/>
    <row r="1574" ht="20.05" customHeight="1" x14ac:dyDescent="0.3"/>
    <row r="1575" ht="20.05" customHeight="1" x14ac:dyDescent="0.3"/>
    <row r="1576" ht="20.05" customHeight="1" x14ac:dyDescent="0.3"/>
    <row r="1577" ht="20.05" customHeight="1" x14ac:dyDescent="0.3"/>
    <row r="1578" ht="20.05" customHeight="1" x14ac:dyDescent="0.3"/>
    <row r="1579" ht="20.05" customHeight="1" x14ac:dyDescent="0.3"/>
    <row r="1580" ht="20.05" customHeight="1" x14ac:dyDescent="0.3"/>
    <row r="1581" ht="20.05" customHeight="1" x14ac:dyDescent="0.3"/>
    <row r="1582" ht="20.05" customHeight="1" x14ac:dyDescent="0.3"/>
    <row r="1583" ht="20.05" customHeight="1" x14ac:dyDescent="0.3"/>
    <row r="1584" ht="20.05" customHeight="1" x14ac:dyDescent="0.3"/>
    <row r="1585" ht="20.05" customHeight="1" x14ac:dyDescent="0.3"/>
    <row r="1586" ht="20.05" customHeight="1" x14ac:dyDescent="0.3"/>
    <row r="1587" ht="20.05" customHeight="1" x14ac:dyDescent="0.3"/>
    <row r="1588" ht="20.05" customHeight="1" x14ac:dyDescent="0.3"/>
    <row r="1589" ht="20.05" customHeight="1" x14ac:dyDescent="0.3"/>
    <row r="1590" ht="20.05" customHeight="1" x14ac:dyDescent="0.3"/>
    <row r="1591" ht="20.05" customHeight="1" x14ac:dyDescent="0.3"/>
    <row r="1592" ht="20.05" customHeight="1" x14ac:dyDescent="0.3"/>
    <row r="1593" ht="20.05" customHeight="1" x14ac:dyDescent="0.3"/>
    <row r="1594" ht="20.05" customHeight="1" x14ac:dyDescent="0.3"/>
    <row r="1595" ht="20.05" customHeight="1" x14ac:dyDescent="0.3"/>
    <row r="1596" ht="20.05" customHeight="1" x14ac:dyDescent="0.3"/>
    <row r="1597" ht="20.05" customHeight="1" x14ac:dyDescent="0.3"/>
    <row r="1598" ht="20.05" customHeight="1" x14ac:dyDescent="0.3"/>
    <row r="1599" ht="20.05" customHeight="1" x14ac:dyDescent="0.3"/>
    <row r="1600" ht="20.05" customHeight="1" x14ac:dyDescent="0.3"/>
    <row r="1601" ht="20.05" customHeight="1" x14ac:dyDescent="0.3"/>
    <row r="1602" ht="20.05" customHeight="1" x14ac:dyDescent="0.3"/>
    <row r="1603" ht="20.05" customHeight="1" x14ac:dyDescent="0.3"/>
    <row r="1604" ht="20.05" customHeight="1" x14ac:dyDescent="0.3"/>
    <row r="1605" ht="20.05" customHeight="1" x14ac:dyDescent="0.3"/>
    <row r="1606" ht="20.05" customHeight="1" x14ac:dyDescent="0.3"/>
    <row r="1607" ht="20.05" customHeight="1" x14ac:dyDescent="0.3"/>
    <row r="1608" ht="20.05" customHeight="1" x14ac:dyDescent="0.3"/>
    <row r="1609" ht="20.05" customHeight="1" x14ac:dyDescent="0.3"/>
    <row r="1610" ht="20.05" customHeight="1" x14ac:dyDescent="0.3"/>
    <row r="1611" ht="20.05" customHeight="1" x14ac:dyDescent="0.3"/>
    <row r="1612" ht="20.05" customHeight="1" x14ac:dyDescent="0.3"/>
    <row r="1613" ht="20.05" customHeight="1" x14ac:dyDescent="0.3"/>
    <row r="1614" ht="20.05" customHeight="1" x14ac:dyDescent="0.3"/>
    <row r="1615" ht="20.05" customHeight="1" x14ac:dyDescent="0.3"/>
    <row r="1616" ht="20.05" customHeight="1" x14ac:dyDescent="0.3"/>
    <row r="1617" ht="20.05" customHeight="1" x14ac:dyDescent="0.3"/>
    <row r="1618" ht="20.05" customHeight="1" x14ac:dyDescent="0.3"/>
    <row r="1619" ht="20.05" customHeight="1" x14ac:dyDescent="0.3"/>
    <row r="1620" ht="20.05" customHeight="1" x14ac:dyDescent="0.3"/>
    <row r="1621" ht="20.05" customHeight="1" x14ac:dyDescent="0.3"/>
    <row r="1622" ht="20.05" customHeight="1" x14ac:dyDescent="0.3"/>
    <row r="1623" ht="20.05" customHeight="1" x14ac:dyDescent="0.3"/>
    <row r="1624" ht="20.05" customHeight="1" x14ac:dyDescent="0.3"/>
    <row r="1625" ht="20.05" customHeight="1" x14ac:dyDescent="0.3"/>
    <row r="1626" ht="20.05" customHeight="1" x14ac:dyDescent="0.3"/>
    <row r="1627" ht="20.05" customHeight="1" x14ac:dyDescent="0.3"/>
    <row r="1628" ht="20.05" customHeight="1" x14ac:dyDescent="0.3"/>
    <row r="1629" ht="20.05" customHeight="1" x14ac:dyDescent="0.3"/>
    <row r="1630" ht="20.05" customHeight="1" x14ac:dyDescent="0.3"/>
    <row r="1631" ht="20.05" customHeight="1" x14ac:dyDescent="0.3"/>
    <row r="1632" ht="20.05" customHeight="1" x14ac:dyDescent="0.3"/>
    <row r="1633" ht="20.05" customHeight="1" x14ac:dyDescent="0.3"/>
    <row r="1634" ht="20.05" customHeight="1" x14ac:dyDescent="0.3"/>
    <row r="1635" ht="20.05" customHeight="1" x14ac:dyDescent="0.3"/>
    <row r="1636" ht="20.05" customHeight="1" x14ac:dyDescent="0.3"/>
    <row r="1637" ht="20.05" customHeight="1" x14ac:dyDescent="0.3"/>
    <row r="1638" ht="20.05" customHeight="1" x14ac:dyDescent="0.3"/>
    <row r="1639" ht="20.05" customHeight="1" x14ac:dyDescent="0.3"/>
    <row r="1640" ht="20.05" customHeight="1" x14ac:dyDescent="0.3"/>
    <row r="1641" ht="20.05" customHeight="1" x14ac:dyDescent="0.3"/>
    <row r="1642" ht="20.05" customHeight="1" x14ac:dyDescent="0.3"/>
    <row r="1643" ht="20.05" customHeight="1" x14ac:dyDescent="0.3"/>
    <row r="1644" ht="20.05" customHeight="1" x14ac:dyDescent="0.3"/>
    <row r="1645" ht="20.05" customHeight="1" x14ac:dyDescent="0.3"/>
    <row r="1646" ht="20.05" customHeight="1" x14ac:dyDescent="0.3"/>
    <row r="1647" ht="20.05" customHeight="1" x14ac:dyDescent="0.3"/>
    <row r="1648" ht="20.05" customHeight="1" x14ac:dyDescent="0.3"/>
    <row r="1649" ht="20.05" customHeight="1" x14ac:dyDescent="0.3"/>
    <row r="1650" ht="20.05" customHeight="1" x14ac:dyDescent="0.3"/>
    <row r="1651" ht="20.05" customHeight="1" x14ac:dyDescent="0.3"/>
    <row r="1652" ht="20.05" customHeight="1" x14ac:dyDescent="0.3"/>
    <row r="1653" ht="20.05" customHeight="1" x14ac:dyDescent="0.3"/>
    <row r="1654" ht="20.05" customHeight="1" x14ac:dyDescent="0.3"/>
    <row r="1655" ht="20.05" customHeight="1" x14ac:dyDescent="0.3"/>
    <row r="1656" ht="20.05" customHeight="1" x14ac:dyDescent="0.3"/>
    <row r="1657" ht="20.05" customHeight="1" x14ac:dyDescent="0.3"/>
    <row r="1658" ht="20.05" customHeight="1" x14ac:dyDescent="0.3"/>
    <row r="1659" ht="20.05" customHeight="1" x14ac:dyDescent="0.3"/>
    <row r="1660" ht="20.05" customHeight="1" x14ac:dyDescent="0.3"/>
    <row r="1661" ht="20.05" customHeight="1" x14ac:dyDescent="0.3"/>
    <row r="1662" ht="20.05" customHeight="1" x14ac:dyDescent="0.3"/>
    <row r="1663" ht="20.05" customHeight="1" x14ac:dyDescent="0.3"/>
    <row r="1664" ht="20.05" customHeight="1" x14ac:dyDescent="0.3"/>
    <row r="1665" ht="20.05" customHeight="1" x14ac:dyDescent="0.3"/>
    <row r="1666" ht="20.05" customHeight="1" x14ac:dyDescent="0.3"/>
    <row r="1667" ht="20.05" customHeight="1" x14ac:dyDescent="0.3"/>
    <row r="1668" ht="20.05" customHeight="1" x14ac:dyDescent="0.3"/>
    <row r="1669" ht="20.05" customHeight="1" x14ac:dyDescent="0.3"/>
    <row r="1670" ht="20.05" customHeight="1" x14ac:dyDescent="0.3"/>
    <row r="1671" ht="20.05" customHeight="1" x14ac:dyDescent="0.3"/>
    <row r="1672" ht="20.05" customHeight="1" x14ac:dyDescent="0.3"/>
    <row r="1673" ht="20.05" customHeight="1" x14ac:dyDescent="0.3"/>
    <row r="1674" ht="20.05" customHeight="1" x14ac:dyDescent="0.3"/>
    <row r="1675" ht="20.05" customHeight="1" x14ac:dyDescent="0.3"/>
    <row r="1676" ht="20.05" customHeight="1" x14ac:dyDescent="0.3"/>
    <row r="1677" ht="20.05" customHeight="1" x14ac:dyDescent="0.3"/>
    <row r="1678" ht="20.05" customHeight="1" x14ac:dyDescent="0.3"/>
    <row r="1679" ht="20.05" customHeight="1" x14ac:dyDescent="0.3"/>
    <row r="1680" ht="20.05" customHeight="1" x14ac:dyDescent="0.3"/>
    <row r="1681" ht="20.05" customHeight="1" x14ac:dyDescent="0.3"/>
    <row r="1682" ht="20.05" customHeight="1" x14ac:dyDescent="0.3"/>
    <row r="1683" ht="20.05" customHeight="1" x14ac:dyDescent="0.3"/>
    <row r="1684" ht="20.05" customHeight="1" x14ac:dyDescent="0.3"/>
    <row r="1685" ht="20.05" customHeight="1" x14ac:dyDescent="0.3"/>
    <row r="1686" ht="20.05" customHeight="1" x14ac:dyDescent="0.3"/>
    <row r="1687" ht="20.05" customHeight="1" x14ac:dyDescent="0.3"/>
    <row r="1688" ht="20.05" customHeight="1" x14ac:dyDescent="0.3"/>
    <row r="1689" ht="20.05" customHeight="1" x14ac:dyDescent="0.3"/>
    <row r="1690" ht="20.05" customHeight="1" x14ac:dyDescent="0.3"/>
    <row r="1691" ht="20.05" customHeight="1" x14ac:dyDescent="0.3"/>
    <row r="1692" ht="20.05" customHeight="1" x14ac:dyDescent="0.3"/>
    <row r="1693" ht="20.05" customHeight="1" x14ac:dyDescent="0.3"/>
    <row r="1694" ht="20.05" customHeight="1" x14ac:dyDescent="0.3"/>
    <row r="1695" ht="20.05" customHeight="1" x14ac:dyDescent="0.3"/>
    <row r="1696" ht="20.05" customHeight="1" x14ac:dyDescent="0.3"/>
    <row r="1697" ht="20.05" customHeight="1" x14ac:dyDescent="0.3"/>
    <row r="1698" ht="20.05" customHeight="1" x14ac:dyDescent="0.3"/>
    <row r="1699" ht="20.05" customHeight="1" x14ac:dyDescent="0.3"/>
    <row r="1700" ht="20.05" customHeight="1" x14ac:dyDescent="0.3"/>
    <row r="1701" ht="20.05" customHeight="1" x14ac:dyDescent="0.3"/>
    <row r="1702" ht="20.05" customHeight="1" x14ac:dyDescent="0.3"/>
    <row r="1703" ht="20.05" customHeight="1" x14ac:dyDescent="0.3"/>
    <row r="1704" ht="20.05" customHeight="1" x14ac:dyDescent="0.3"/>
    <row r="1705" ht="20.05" customHeight="1" x14ac:dyDescent="0.3"/>
    <row r="1706" ht="20.05" customHeight="1" x14ac:dyDescent="0.3"/>
    <row r="1707" ht="20.05" customHeight="1" x14ac:dyDescent="0.3"/>
    <row r="1708" ht="20.05" customHeight="1" x14ac:dyDescent="0.3"/>
    <row r="1709" ht="20.05" customHeight="1" x14ac:dyDescent="0.3"/>
    <row r="1710" ht="20.05" customHeight="1" x14ac:dyDescent="0.3"/>
    <row r="1711" ht="20.05" customHeight="1" x14ac:dyDescent="0.3"/>
    <row r="1712" ht="20.05" customHeight="1" x14ac:dyDescent="0.3"/>
    <row r="1713" ht="20.05" customHeight="1" x14ac:dyDescent="0.3"/>
    <row r="1714" ht="20.05" customHeight="1" x14ac:dyDescent="0.3"/>
    <row r="1715" ht="20.05" customHeight="1" x14ac:dyDescent="0.3"/>
    <row r="1716" ht="20.05" customHeight="1" x14ac:dyDescent="0.3"/>
    <row r="1717" ht="20.05" customHeight="1" x14ac:dyDescent="0.3"/>
    <row r="1718" ht="20.05" customHeight="1" x14ac:dyDescent="0.3"/>
    <row r="1719" ht="20.05" customHeight="1" x14ac:dyDescent="0.3"/>
    <row r="1720" ht="20.05" customHeight="1" x14ac:dyDescent="0.3"/>
    <row r="1721" ht="20.05" customHeight="1" x14ac:dyDescent="0.3"/>
    <row r="1722" ht="20.05" customHeight="1" x14ac:dyDescent="0.3"/>
    <row r="1723" ht="20.05" customHeight="1" x14ac:dyDescent="0.3"/>
    <row r="1724" ht="20.05" customHeight="1" x14ac:dyDescent="0.3"/>
    <row r="1725" ht="20.05" customHeight="1" x14ac:dyDescent="0.3"/>
    <row r="1726" ht="20.05" customHeight="1" x14ac:dyDescent="0.3"/>
    <row r="1727" ht="20.05" customHeight="1" x14ac:dyDescent="0.3"/>
    <row r="1728" ht="20.05" customHeight="1" x14ac:dyDescent="0.3"/>
    <row r="1729" ht="20.05" customHeight="1" x14ac:dyDescent="0.3"/>
    <row r="1730" ht="20.05" customHeight="1" x14ac:dyDescent="0.3"/>
    <row r="1731" ht="20.05" customHeight="1" x14ac:dyDescent="0.3"/>
    <row r="1732" ht="20.05" customHeight="1" x14ac:dyDescent="0.3"/>
    <row r="1733" ht="20.05" customHeight="1" x14ac:dyDescent="0.3"/>
    <row r="1734" ht="20.05" customHeight="1" x14ac:dyDescent="0.3"/>
    <row r="1735" ht="20.05" customHeight="1" x14ac:dyDescent="0.3"/>
    <row r="1736" ht="20.05" customHeight="1" x14ac:dyDescent="0.3"/>
    <row r="1737" ht="20.05" customHeight="1" x14ac:dyDescent="0.3"/>
    <row r="1738" ht="20.05" customHeight="1" x14ac:dyDescent="0.3"/>
    <row r="1739" ht="20.05" customHeight="1" x14ac:dyDescent="0.3"/>
    <row r="1740" ht="20.05" customHeight="1" x14ac:dyDescent="0.3"/>
    <row r="1741" ht="20.05" customHeight="1" x14ac:dyDescent="0.3"/>
    <row r="1742" ht="20.05" customHeight="1" x14ac:dyDescent="0.3"/>
    <row r="1743" ht="20.05" customHeight="1" x14ac:dyDescent="0.3"/>
    <row r="1744" ht="20.05" customHeight="1" x14ac:dyDescent="0.3"/>
    <row r="1745" ht="20.05" customHeight="1" x14ac:dyDescent="0.3"/>
    <row r="1746" ht="20.05" customHeight="1" x14ac:dyDescent="0.3"/>
    <row r="1747" ht="20.05" customHeight="1" x14ac:dyDescent="0.3"/>
    <row r="1748" ht="20.05" customHeight="1" x14ac:dyDescent="0.3"/>
    <row r="1749" ht="20.05" customHeight="1" x14ac:dyDescent="0.3"/>
    <row r="1750" ht="20.05" customHeight="1" x14ac:dyDescent="0.3"/>
    <row r="1751" ht="20.05" customHeight="1" x14ac:dyDescent="0.3"/>
    <row r="1752" ht="20.05" customHeight="1" x14ac:dyDescent="0.3"/>
    <row r="1753" ht="20.05" customHeight="1" x14ac:dyDescent="0.3"/>
    <row r="1754" ht="20.05" customHeight="1" x14ac:dyDescent="0.3"/>
    <row r="1755" ht="20.05" customHeight="1" x14ac:dyDescent="0.3"/>
    <row r="1756" ht="20.05" customHeight="1" x14ac:dyDescent="0.3"/>
    <row r="1757" ht="20.05" customHeight="1" x14ac:dyDescent="0.3"/>
    <row r="1758" ht="20.05" customHeight="1" x14ac:dyDescent="0.3"/>
    <row r="1759" ht="20.05" customHeight="1" x14ac:dyDescent="0.3"/>
    <row r="1760" ht="20.05" customHeight="1" x14ac:dyDescent="0.3"/>
    <row r="1761" ht="20.05" customHeight="1" x14ac:dyDescent="0.3"/>
    <row r="1762" ht="20.05" customHeight="1" x14ac:dyDescent="0.3"/>
    <row r="1763" ht="20.05" customHeight="1" x14ac:dyDescent="0.3"/>
    <row r="1764" ht="20.05" customHeight="1" x14ac:dyDescent="0.3"/>
    <row r="1765" ht="20.05" customHeight="1" x14ac:dyDescent="0.3"/>
    <row r="1766" ht="20.05" customHeight="1" x14ac:dyDescent="0.3"/>
    <row r="1767" ht="20.05" customHeight="1" x14ac:dyDescent="0.3"/>
    <row r="1768" ht="20.05" customHeight="1" x14ac:dyDescent="0.3"/>
    <row r="1769" ht="20.05" customHeight="1" x14ac:dyDescent="0.3"/>
    <row r="1770" ht="20.05" customHeight="1" x14ac:dyDescent="0.3"/>
    <row r="1771" ht="20.05" customHeight="1" x14ac:dyDescent="0.3"/>
    <row r="1772" ht="20.05" customHeight="1" x14ac:dyDescent="0.3"/>
    <row r="1773" ht="20.05" customHeight="1" x14ac:dyDescent="0.3"/>
    <row r="1774" ht="20.05" customHeight="1" x14ac:dyDescent="0.3"/>
    <row r="1775" ht="20.05" customHeight="1" x14ac:dyDescent="0.3"/>
    <row r="1776" ht="20.05" customHeight="1" x14ac:dyDescent="0.3"/>
    <row r="1777" ht="20.05" customHeight="1" x14ac:dyDescent="0.3"/>
    <row r="1778" ht="20.05" customHeight="1" x14ac:dyDescent="0.3"/>
    <row r="1779" ht="20.05" customHeight="1" x14ac:dyDescent="0.3"/>
    <row r="1780" ht="20.05" customHeight="1" x14ac:dyDescent="0.3"/>
    <row r="1781" ht="20.05" customHeight="1" x14ac:dyDescent="0.3"/>
    <row r="1782" ht="20.05" customHeight="1" x14ac:dyDescent="0.3"/>
    <row r="1783" ht="20.05" customHeight="1" x14ac:dyDescent="0.3"/>
    <row r="1784" ht="20.05" customHeight="1" x14ac:dyDescent="0.3"/>
    <row r="1785" ht="20.05" customHeight="1" x14ac:dyDescent="0.3"/>
    <row r="1786" ht="20.05" customHeight="1" x14ac:dyDescent="0.3"/>
    <row r="1787" ht="20.05" customHeight="1" x14ac:dyDescent="0.3"/>
    <row r="1788" ht="20.05" customHeight="1" x14ac:dyDescent="0.3"/>
    <row r="1789" ht="20.05" customHeight="1" x14ac:dyDescent="0.3"/>
    <row r="1790" ht="20.05" customHeight="1" x14ac:dyDescent="0.3"/>
    <row r="1791" ht="20.05" customHeight="1" x14ac:dyDescent="0.3"/>
    <row r="1792" ht="20.05" customHeight="1" x14ac:dyDescent="0.3"/>
    <row r="1793" ht="20.05" customHeight="1" x14ac:dyDescent="0.3"/>
    <row r="1794" ht="20.05" customHeight="1" x14ac:dyDescent="0.3"/>
    <row r="1795" ht="20.05" customHeight="1" x14ac:dyDescent="0.3"/>
    <row r="1796" ht="20.05" customHeight="1" x14ac:dyDescent="0.3"/>
    <row r="1797" ht="20.05" customHeight="1" x14ac:dyDescent="0.3"/>
    <row r="1798" ht="20.05" customHeight="1" x14ac:dyDescent="0.3"/>
    <row r="1799" ht="20.05" customHeight="1" x14ac:dyDescent="0.3"/>
    <row r="1800" ht="20.05" customHeight="1" x14ac:dyDescent="0.3"/>
    <row r="1801" ht="20.05" customHeight="1" x14ac:dyDescent="0.3"/>
    <row r="1802" ht="20.05" customHeight="1" x14ac:dyDescent="0.3"/>
    <row r="1803" ht="20.05" customHeight="1" x14ac:dyDescent="0.3"/>
    <row r="1804" ht="20.05" customHeight="1" x14ac:dyDescent="0.3"/>
    <row r="1805" ht="20.05" customHeight="1" x14ac:dyDescent="0.3"/>
    <row r="1806" ht="20.05" customHeight="1" x14ac:dyDescent="0.3"/>
    <row r="1807" ht="20.05" customHeight="1" x14ac:dyDescent="0.3"/>
    <row r="1808" ht="20.05" customHeight="1" x14ac:dyDescent="0.3"/>
    <row r="1809" ht="20.05" customHeight="1" x14ac:dyDescent="0.3"/>
    <row r="1810" ht="20.05" customHeight="1" x14ac:dyDescent="0.3"/>
    <row r="1811" ht="20.05" customHeight="1" x14ac:dyDescent="0.3"/>
    <row r="1812" ht="20.05" customHeight="1" x14ac:dyDescent="0.3"/>
    <row r="1813" ht="20.05" customHeight="1" x14ac:dyDescent="0.3"/>
    <row r="1814" ht="20.05" customHeight="1" x14ac:dyDescent="0.3"/>
    <row r="1815" ht="20.05" customHeight="1" x14ac:dyDescent="0.3"/>
    <row r="1816" ht="20.05" customHeight="1" x14ac:dyDescent="0.3"/>
    <row r="1817" ht="20.05" customHeight="1" x14ac:dyDescent="0.3"/>
    <row r="1818" ht="20.05" customHeight="1" x14ac:dyDescent="0.3"/>
    <row r="1819" ht="20.05" customHeight="1" x14ac:dyDescent="0.3"/>
    <row r="1820" ht="20.05" customHeight="1" x14ac:dyDescent="0.3"/>
    <row r="1821" ht="20.05" customHeight="1" x14ac:dyDescent="0.3"/>
    <row r="1822" ht="20.05" customHeight="1" x14ac:dyDescent="0.3"/>
    <row r="1823" ht="20.05" customHeight="1" x14ac:dyDescent="0.3"/>
    <row r="1824" ht="20.05" customHeight="1" x14ac:dyDescent="0.3"/>
    <row r="1825" ht="20.05" customHeight="1" x14ac:dyDescent="0.3"/>
    <row r="1826" ht="20.05" customHeight="1" x14ac:dyDescent="0.3"/>
    <row r="1827" ht="20.05" customHeight="1" x14ac:dyDescent="0.3"/>
    <row r="1828" ht="20.05" customHeight="1" x14ac:dyDescent="0.3"/>
    <row r="1829" ht="20.05" customHeight="1" x14ac:dyDescent="0.3"/>
    <row r="1830" ht="20.05" customHeight="1" x14ac:dyDescent="0.3"/>
    <row r="1831" ht="20.05" customHeight="1" x14ac:dyDescent="0.3"/>
    <row r="1832" ht="20.05" customHeight="1" x14ac:dyDescent="0.3"/>
    <row r="1833" ht="20.05" customHeight="1" x14ac:dyDescent="0.3"/>
    <row r="1834" ht="20.05" customHeight="1" x14ac:dyDescent="0.3"/>
    <row r="1835" ht="20.05" customHeight="1" x14ac:dyDescent="0.3"/>
    <row r="1836" ht="20.05" customHeight="1" x14ac:dyDescent="0.3"/>
    <row r="1837" ht="20.05" customHeight="1" x14ac:dyDescent="0.3"/>
    <row r="1838" ht="20.05" customHeight="1" x14ac:dyDescent="0.3"/>
    <row r="1839" ht="20.05" customHeight="1" x14ac:dyDescent="0.3"/>
    <row r="1840" ht="20.05" customHeight="1" x14ac:dyDescent="0.3"/>
    <row r="1841" ht="20.05" customHeight="1" x14ac:dyDescent="0.3"/>
    <row r="1842" ht="20.05" customHeight="1" x14ac:dyDescent="0.3"/>
    <row r="1843" ht="20.05" customHeight="1" x14ac:dyDescent="0.3"/>
    <row r="1844" ht="20.05" customHeight="1" x14ac:dyDescent="0.3"/>
    <row r="1845" ht="20.05" customHeight="1" x14ac:dyDescent="0.3"/>
    <row r="1846" ht="20.05" customHeight="1" x14ac:dyDescent="0.3"/>
    <row r="1847" ht="20.05" customHeight="1" x14ac:dyDescent="0.3"/>
    <row r="1848" ht="20.05" customHeight="1" x14ac:dyDescent="0.3"/>
    <row r="1849" ht="20.05" customHeight="1" x14ac:dyDescent="0.3"/>
    <row r="1850" ht="20.05" customHeight="1" x14ac:dyDescent="0.3"/>
    <row r="1851" ht="20.05" customHeight="1" x14ac:dyDescent="0.3"/>
    <row r="1852" ht="20.05" customHeight="1" x14ac:dyDescent="0.3"/>
    <row r="1853" ht="20.05" customHeight="1" x14ac:dyDescent="0.3"/>
    <row r="1854" ht="20.05" customHeight="1" x14ac:dyDescent="0.3"/>
    <row r="1855" ht="20.05" customHeight="1" x14ac:dyDescent="0.3"/>
    <row r="1856" ht="20.05" customHeight="1" x14ac:dyDescent="0.3"/>
    <row r="1857" ht="20.05" customHeight="1" x14ac:dyDescent="0.3"/>
    <row r="1858" ht="20.05" customHeight="1" x14ac:dyDescent="0.3"/>
    <row r="1859" ht="20.05" customHeight="1" x14ac:dyDescent="0.3"/>
    <row r="1860" ht="20.05" customHeight="1" x14ac:dyDescent="0.3"/>
    <row r="1861" ht="20.05" customHeight="1" x14ac:dyDescent="0.3"/>
    <row r="1862" ht="20.05" customHeight="1" x14ac:dyDescent="0.3"/>
    <row r="1863" ht="20.05" customHeight="1" x14ac:dyDescent="0.3"/>
    <row r="1864" ht="20.05" customHeight="1" x14ac:dyDescent="0.3"/>
    <row r="1865" ht="20.05" customHeight="1" x14ac:dyDescent="0.3"/>
    <row r="1866" ht="20.05" customHeight="1" x14ac:dyDescent="0.3"/>
    <row r="1867" ht="20.05" customHeight="1" x14ac:dyDescent="0.3"/>
    <row r="1868" ht="20.05" customHeight="1" x14ac:dyDescent="0.3"/>
    <row r="1869" ht="20.05" customHeight="1" x14ac:dyDescent="0.3"/>
    <row r="1870" ht="20.05" customHeight="1" x14ac:dyDescent="0.3"/>
    <row r="1871" ht="20.05" customHeight="1" x14ac:dyDescent="0.3"/>
    <row r="1872" ht="20.05" customHeight="1" x14ac:dyDescent="0.3"/>
    <row r="1873" ht="20.05" customHeight="1" x14ac:dyDescent="0.3"/>
    <row r="1874" ht="20.05" customHeight="1" x14ac:dyDescent="0.3"/>
    <row r="1875" ht="20.05" customHeight="1" x14ac:dyDescent="0.3"/>
    <row r="1876" ht="20.05" customHeight="1" x14ac:dyDescent="0.3"/>
    <row r="1877" ht="20.05" customHeight="1" x14ac:dyDescent="0.3"/>
    <row r="1878" ht="20.05" customHeight="1" x14ac:dyDescent="0.3"/>
    <row r="1879" ht="20.05" customHeight="1" x14ac:dyDescent="0.3"/>
    <row r="1880" ht="20.05" customHeight="1" x14ac:dyDescent="0.3"/>
    <row r="1881" ht="20.05" customHeight="1" x14ac:dyDescent="0.3"/>
    <row r="1882" ht="20.05" customHeight="1" x14ac:dyDescent="0.3"/>
    <row r="1883" ht="20.05" customHeight="1" x14ac:dyDescent="0.3"/>
    <row r="1884" ht="20.05" customHeight="1" x14ac:dyDescent="0.3"/>
    <row r="1885" ht="20.05" customHeight="1" x14ac:dyDescent="0.3"/>
    <row r="1886" ht="20.05" customHeight="1" x14ac:dyDescent="0.3"/>
    <row r="1887" ht="20.05" customHeight="1" x14ac:dyDescent="0.3"/>
    <row r="1888" ht="20.05" customHeight="1" x14ac:dyDescent="0.3"/>
    <row r="1889" ht="20.05" customHeight="1" x14ac:dyDescent="0.3"/>
    <row r="1890" ht="20.05" customHeight="1" x14ac:dyDescent="0.3"/>
    <row r="1891" ht="20.05" customHeight="1" x14ac:dyDescent="0.3"/>
    <row r="1892" ht="20.05" customHeight="1" x14ac:dyDescent="0.3"/>
    <row r="1893" ht="20.05" customHeight="1" x14ac:dyDescent="0.3"/>
    <row r="1894" ht="20.05" customHeight="1" x14ac:dyDescent="0.3"/>
    <row r="1895" ht="20.05" customHeight="1" x14ac:dyDescent="0.3"/>
    <row r="1896" ht="20.05" customHeight="1" x14ac:dyDescent="0.3"/>
    <row r="1897" ht="20.05" customHeight="1" x14ac:dyDescent="0.3"/>
    <row r="1898" ht="20.05" customHeight="1" x14ac:dyDescent="0.3"/>
    <row r="1899" ht="20.05" customHeight="1" x14ac:dyDescent="0.3"/>
    <row r="1900" ht="20.05" customHeight="1" x14ac:dyDescent="0.3"/>
    <row r="1901" ht="20.05" customHeight="1" x14ac:dyDescent="0.3"/>
    <row r="1902" ht="20.05" customHeight="1" x14ac:dyDescent="0.3"/>
    <row r="1903" ht="20.05" customHeight="1" x14ac:dyDescent="0.3"/>
    <row r="1904" ht="20.05" customHeight="1" x14ac:dyDescent="0.3"/>
    <row r="1905" ht="20.05" customHeight="1" x14ac:dyDescent="0.3"/>
    <row r="1906" ht="20.05" customHeight="1" x14ac:dyDescent="0.3"/>
    <row r="1907" ht="20.05" customHeight="1" x14ac:dyDescent="0.3"/>
    <row r="1908" ht="20.05" customHeight="1" x14ac:dyDescent="0.3"/>
    <row r="1909" ht="20.05" customHeight="1" x14ac:dyDescent="0.3"/>
    <row r="1910" ht="20.05" customHeight="1" x14ac:dyDescent="0.3"/>
    <row r="1911" ht="20.05" customHeight="1" x14ac:dyDescent="0.3"/>
    <row r="1912" ht="20.05" customHeight="1" x14ac:dyDescent="0.3"/>
    <row r="1913" ht="20.05" customHeight="1" x14ac:dyDescent="0.3"/>
    <row r="1914" ht="20.05" customHeight="1" x14ac:dyDescent="0.3"/>
    <row r="1915" ht="20.05" customHeight="1" x14ac:dyDescent="0.3"/>
    <row r="1916" ht="20.05" customHeight="1" x14ac:dyDescent="0.3"/>
    <row r="1917" ht="20.05" customHeight="1" x14ac:dyDescent="0.3"/>
    <row r="1918" ht="20.05" customHeight="1" x14ac:dyDescent="0.3"/>
    <row r="1919" ht="20.05" customHeight="1" x14ac:dyDescent="0.3"/>
    <row r="1920" ht="20.05" customHeight="1" x14ac:dyDescent="0.3"/>
    <row r="1921" ht="20.05" customHeight="1" x14ac:dyDescent="0.3"/>
    <row r="1922" ht="20.05" customHeight="1" x14ac:dyDescent="0.3"/>
    <row r="1923" ht="20.05" customHeight="1" x14ac:dyDescent="0.3"/>
    <row r="1924" ht="20.05" customHeight="1" x14ac:dyDescent="0.3"/>
    <row r="1925" ht="20.05" customHeight="1" x14ac:dyDescent="0.3"/>
    <row r="1926" ht="20.05" customHeight="1" x14ac:dyDescent="0.3"/>
    <row r="1927" ht="20.05" customHeight="1" x14ac:dyDescent="0.3"/>
    <row r="1928" ht="20.05" customHeight="1" x14ac:dyDescent="0.3"/>
    <row r="1929" ht="20.05" customHeight="1" x14ac:dyDescent="0.3"/>
    <row r="1930" ht="20.05" customHeight="1" x14ac:dyDescent="0.3"/>
    <row r="1931" ht="20.05" customHeight="1" x14ac:dyDescent="0.3"/>
    <row r="1932" ht="20.05" customHeight="1" x14ac:dyDescent="0.3"/>
    <row r="1933" ht="20.05" customHeight="1" x14ac:dyDescent="0.3"/>
    <row r="1934" ht="20.05" customHeight="1" x14ac:dyDescent="0.3"/>
    <row r="1935" ht="20.05" customHeight="1" x14ac:dyDescent="0.3"/>
    <row r="1936" ht="20.05" customHeight="1" x14ac:dyDescent="0.3"/>
    <row r="1937" ht="20.05" customHeight="1" x14ac:dyDescent="0.3"/>
    <row r="1938" ht="20.05" customHeight="1" x14ac:dyDescent="0.3"/>
    <row r="1939" ht="20.05" customHeight="1" x14ac:dyDescent="0.3"/>
    <row r="1940" ht="20.05" customHeight="1" x14ac:dyDescent="0.3"/>
    <row r="1941" ht="20.05" customHeight="1" x14ac:dyDescent="0.3"/>
    <row r="1942" ht="20.05" customHeight="1" x14ac:dyDescent="0.3"/>
    <row r="1943" ht="20.05" customHeight="1" x14ac:dyDescent="0.3"/>
    <row r="1944" ht="20.05" customHeight="1" x14ac:dyDescent="0.3"/>
    <row r="1945" ht="20.05" customHeight="1" x14ac:dyDescent="0.3"/>
    <row r="1946" ht="20.05" customHeight="1" x14ac:dyDescent="0.3"/>
    <row r="1947" ht="20.05" customHeight="1" x14ac:dyDescent="0.3"/>
    <row r="1948" ht="20.05" customHeight="1" x14ac:dyDescent="0.3"/>
    <row r="1949" ht="20.05" customHeight="1" x14ac:dyDescent="0.3"/>
    <row r="1950" ht="20.05" customHeight="1" x14ac:dyDescent="0.3"/>
    <row r="1951" ht="20.05" customHeight="1" x14ac:dyDescent="0.3"/>
    <row r="1952" ht="20.05" customHeight="1" x14ac:dyDescent="0.3"/>
    <row r="1953" ht="20.05" customHeight="1" x14ac:dyDescent="0.3"/>
    <row r="1954" ht="20.05" customHeight="1" x14ac:dyDescent="0.3"/>
    <row r="1955" ht="20.05" customHeight="1" x14ac:dyDescent="0.3"/>
    <row r="1956" ht="20.05" customHeight="1" x14ac:dyDescent="0.3"/>
    <row r="1957" ht="20.05" customHeight="1" x14ac:dyDescent="0.3"/>
    <row r="1958" ht="20.05" customHeight="1" x14ac:dyDescent="0.3"/>
    <row r="1959" ht="20.05" customHeight="1" x14ac:dyDescent="0.3"/>
    <row r="1960" ht="20.05" customHeight="1" x14ac:dyDescent="0.3"/>
    <row r="1961" ht="20.05" customHeight="1" x14ac:dyDescent="0.3"/>
    <row r="1962" ht="20.05" customHeight="1" x14ac:dyDescent="0.3"/>
    <row r="1963" ht="20.05" customHeight="1" x14ac:dyDescent="0.3"/>
    <row r="1964" ht="20.05" customHeight="1" x14ac:dyDescent="0.3"/>
    <row r="1965" ht="20.05" customHeight="1" x14ac:dyDescent="0.3"/>
    <row r="1966" ht="20.05" customHeight="1" x14ac:dyDescent="0.3"/>
    <row r="1967" ht="20.05" customHeight="1" x14ac:dyDescent="0.3"/>
    <row r="1968" ht="20.05" customHeight="1" x14ac:dyDescent="0.3"/>
    <row r="1969" ht="20.05" customHeight="1" x14ac:dyDescent="0.3"/>
    <row r="1970" ht="20.05" customHeight="1" x14ac:dyDescent="0.3"/>
    <row r="1971" ht="20.05" customHeight="1" x14ac:dyDescent="0.3"/>
    <row r="1972" ht="20.05" customHeight="1" x14ac:dyDescent="0.3"/>
    <row r="1973" ht="20.05" customHeight="1" x14ac:dyDescent="0.3"/>
    <row r="1974" ht="20.05" customHeight="1" x14ac:dyDescent="0.3"/>
    <row r="1975" ht="20.05" customHeight="1" x14ac:dyDescent="0.3"/>
    <row r="1976" ht="20.05" customHeight="1" x14ac:dyDescent="0.3"/>
    <row r="1977" ht="20.05" customHeight="1" x14ac:dyDescent="0.3"/>
    <row r="1978" ht="20.05" customHeight="1" x14ac:dyDescent="0.3"/>
    <row r="1979" ht="20.05" customHeight="1" x14ac:dyDescent="0.3"/>
    <row r="1980" ht="20.05" customHeight="1" x14ac:dyDescent="0.3"/>
    <row r="1981" ht="20.05" customHeight="1" x14ac:dyDescent="0.3"/>
    <row r="1982" ht="20.05" customHeight="1" x14ac:dyDescent="0.3"/>
    <row r="1983" ht="20.05" customHeight="1" x14ac:dyDescent="0.3"/>
    <row r="1984" ht="20.05" customHeight="1" x14ac:dyDescent="0.3"/>
    <row r="1985" ht="20.05" customHeight="1" x14ac:dyDescent="0.3"/>
    <row r="1986" ht="20.05" customHeight="1" x14ac:dyDescent="0.3"/>
    <row r="1987" ht="20.05" customHeight="1" x14ac:dyDescent="0.3"/>
    <row r="1988" ht="20.05" customHeight="1" x14ac:dyDescent="0.3"/>
    <row r="1989" ht="20.05" customHeight="1" x14ac:dyDescent="0.3"/>
    <row r="1990" ht="20.05" customHeight="1" x14ac:dyDescent="0.3"/>
    <row r="1991" ht="20.05" customHeight="1" x14ac:dyDescent="0.3"/>
    <row r="1992" ht="20.05" customHeight="1" x14ac:dyDescent="0.3"/>
    <row r="1993" ht="20.05" customHeight="1" x14ac:dyDescent="0.3"/>
    <row r="1994" ht="20.05" customHeight="1" x14ac:dyDescent="0.3"/>
    <row r="1995" ht="20.05" customHeight="1" x14ac:dyDescent="0.3"/>
    <row r="1996" ht="20.05" customHeight="1" x14ac:dyDescent="0.3"/>
    <row r="1997" ht="20.05" customHeight="1" x14ac:dyDescent="0.3"/>
    <row r="1998" ht="20.05" customHeight="1" x14ac:dyDescent="0.3"/>
    <row r="1999" ht="20.05" customHeight="1" x14ac:dyDescent="0.3"/>
    <row r="2000" ht="20.05" customHeight="1" x14ac:dyDescent="0.3"/>
    <row r="2001" ht="20.05" customHeight="1" x14ac:dyDescent="0.3"/>
    <row r="2002" ht="20.05" customHeight="1" x14ac:dyDescent="0.3"/>
    <row r="2003" ht="20.05" customHeight="1" x14ac:dyDescent="0.3"/>
    <row r="2004" ht="20.05" customHeight="1" x14ac:dyDescent="0.3"/>
    <row r="2005" ht="20.05" customHeight="1" x14ac:dyDescent="0.3"/>
    <row r="2006" ht="20.05" customHeight="1" x14ac:dyDescent="0.3"/>
    <row r="2007" ht="20.05" customHeight="1" x14ac:dyDescent="0.3"/>
    <row r="2008" ht="20.05" customHeight="1" x14ac:dyDescent="0.3"/>
    <row r="2009" ht="20.05" customHeight="1" x14ac:dyDescent="0.3"/>
    <row r="2010" ht="20.05" customHeight="1" x14ac:dyDescent="0.3"/>
    <row r="2011" ht="20.05" customHeight="1" x14ac:dyDescent="0.3"/>
    <row r="2012" ht="20.05" customHeight="1" x14ac:dyDescent="0.3"/>
    <row r="2013" ht="20.05" customHeight="1" x14ac:dyDescent="0.3"/>
    <row r="2014" ht="20.05" customHeight="1" x14ac:dyDescent="0.3"/>
    <row r="2015" ht="20.05" customHeight="1" x14ac:dyDescent="0.3"/>
    <row r="2016" ht="20.05" customHeight="1" x14ac:dyDescent="0.3"/>
    <row r="2017" ht="20.05" customHeight="1" x14ac:dyDescent="0.3"/>
    <row r="2018" ht="20.05" customHeight="1" x14ac:dyDescent="0.3"/>
    <row r="2019" ht="20.05" customHeight="1" x14ac:dyDescent="0.3"/>
    <row r="2020" ht="20.05" customHeight="1" x14ac:dyDescent="0.3"/>
    <row r="2021" ht="20.05" customHeight="1" x14ac:dyDescent="0.3"/>
    <row r="2022" ht="20.05" customHeight="1" x14ac:dyDescent="0.3"/>
    <row r="2023" ht="20.05" customHeight="1" x14ac:dyDescent="0.3"/>
    <row r="2024" ht="20.05" customHeight="1" x14ac:dyDescent="0.3"/>
    <row r="2025" ht="20.05" customHeight="1" x14ac:dyDescent="0.3"/>
    <row r="2026" ht="20.05" customHeight="1" x14ac:dyDescent="0.3"/>
    <row r="2027" ht="20.05" customHeight="1" x14ac:dyDescent="0.3"/>
    <row r="2028" ht="20.05" customHeight="1" x14ac:dyDescent="0.3"/>
    <row r="2029" ht="20.05" customHeight="1" x14ac:dyDescent="0.3"/>
    <row r="2030" ht="20.05" customHeight="1" x14ac:dyDescent="0.3"/>
    <row r="2031" ht="20.05" customHeight="1" x14ac:dyDescent="0.3"/>
    <row r="2032" ht="20.05" customHeight="1" x14ac:dyDescent="0.3"/>
    <row r="2033" ht="20.05" customHeight="1" x14ac:dyDescent="0.3"/>
    <row r="2034" ht="20.05" customHeight="1" x14ac:dyDescent="0.3"/>
    <row r="2035" ht="20.05" customHeight="1" x14ac:dyDescent="0.3"/>
    <row r="2036" ht="20.05" customHeight="1" x14ac:dyDescent="0.3"/>
    <row r="2037" ht="20.05" customHeight="1" x14ac:dyDescent="0.3"/>
    <row r="2038" ht="20.05" customHeight="1" x14ac:dyDescent="0.3"/>
    <row r="2039" ht="20.05" customHeight="1" x14ac:dyDescent="0.3"/>
    <row r="2040" ht="20.05" customHeight="1" x14ac:dyDescent="0.3"/>
    <row r="2041" ht="20.05" customHeight="1" x14ac:dyDescent="0.3"/>
    <row r="2042" ht="20.05" customHeight="1" x14ac:dyDescent="0.3"/>
    <row r="2043" ht="20.05" customHeight="1" x14ac:dyDescent="0.3"/>
    <row r="2044" ht="20.05" customHeight="1" x14ac:dyDescent="0.3"/>
    <row r="2045" ht="20.05" customHeight="1" x14ac:dyDescent="0.3"/>
    <row r="2046" ht="20.05" customHeight="1" x14ac:dyDescent="0.3"/>
    <row r="2047" ht="20.05" customHeight="1" x14ac:dyDescent="0.3"/>
    <row r="2048" ht="20.05" customHeight="1" x14ac:dyDescent="0.3"/>
    <row r="2049" ht="20.05" customHeight="1" x14ac:dyDescent="0.3"/>
    <row r="2050" ht="20.05" customHeight="1" x14ac:dyDescent="0.3"/>
    <row r="2051" ht="20.05" customHeight="1" x14ac:dyDescent="0.3"/>
    <row r="2052" ht="20.05" customHeight="1" x14ac:dyDescent="0.3"/>
    <row r="2053" ht="20.05" customHeight="1" x14ac:dyDescent="0.3"/>
    <row r="2054" ht="20.05" customHeight="1" x14ac:dyDescent="0.3"/>
    <row r="2055" ht="20.05" customHeight="1" x14ac:dyDescent="0.3"/>
    <row r="2056" ht="20.05" customHeight="1" x14ac:dyDescent="0.3"/>
    <row r="2057" ht="20.05" customHeight="1" x14ac:dyDescent="0.3"/>
    <row r="2058" ht="20.05" customHeight="1" x14ac:dyDescent="0.3"/>
    <row r="2059" ht="20.05" customHeight="1" x14ac:dyDescent="0.3"/>
    <row r="2060" ht="20.05" customHeight="1" x14ac:dyDescent="0.3"/>
    <row r="2061" ht="20.05" customHeight="1" x14ac:dyDescent="0.3"/>
    <row r="2062" ht="20.05" customHeight="1" x14ac:dyDescent="0.3"/>
    <row r="2063" ht="20.05" customHeight="1" x14ac:dyDescent="0.3"/>
    <row r="2064" ht="20.05" customHeight="1" x14ac:dyDescent="0.3"/>
    <row r="2065" ht="20.05" customHeight="1" x14ac:dyDescent="0.3"/>
    <row r="2066" ht="20.05" customHeight="1" x14ac:dyDescent="0.3"/>
    <row r="2067" ht="20.05" customHeight="1" x14ac:dyDescent="0.3"/>
    <row r="2068" ht="20.05" customHeight="1" x14ac:dyDescent="0.3"/>
    <row r="2069" ht="20.05" customHeight="1" x14ac:dyDescent="0.3"/>
    <row r="2070" ht="20.05" customHeight="1" x14ac:dyDescent="0.3"/>
    <row r="2071" ht="20.05" customHeight="1" x14ac:dyDescent="0.3"/>
    <row r="2072" ht="20.05" customHeight="1" x14ac:dyDescent="0.3"/>
    <row r="2073" ht="20.05" customHeight="1" x14ac:dyDescent="0.3"/>
    <row r="2074" ht="20.05" customHeight="1" x14ac:dyDescent="0.3"/>
    <row r="2075" ht="20.05" customHeight="1" x14ac:dyDescent="0.3"/>
    <row r="2076" ht="20.05" customHeight="1" x14ac:dyDescent="0.3"/>
    <row r="2077" ht="20.05" customHeight="1" x14ac:dyDescent="0.3"/>
    <row r="2078" ht="20.05" customHeight="1" x14ac:dyDescent="0.3"/>
    <row r="2079" ht="20.05" customHeight="1" x14ac:dyDescent="0.3"/>
    <row r="2080" ht="20.05" customHeight="1" x14ac:dyDescent="0.3"/>
    <row r="2081" ht="20.05" customHeight="1" x14ac:dyDescent="0.3"/>
    <row r="2082" ht="20.05" customHeight="1" x14ac:dyDescent="0.3"/>
    <row r="2083" ht="20.05" customHeight="1" x14ac:dyDescent="0.3"/>
    <row r="2084" ht="20.05" customHeight="1" x14ac:dyDescent="0.3"/>
    <row r="2085" ht="20.05" customHeight="1" x14ac:dyDescent="0.3"/>
    <row r="2086" ht="20.05" customHeight="1" x14ac:dyDescent="0.3"/>
    <row r="2087" ht="20.05" customHeight="1" x14ac:dyDescent="0.3"/>
    <row r="2088" ht="20.05" customHeight="1" x14ac:dyDescent="0.3"/>
    <row r="2089" ht="20.05" customHeight="1" x14ac:dyDescent="0.3"/>
    <row r="2090" ht="20.05" customHeight="1" x14ac:dyDescent="0.3"/>
    <row r="2091" ht="20.05" customHeight="1" x14ac:dyDescent="0.3"/>
    <row r="2092" ht="20.05" customHeight="1" x14ac:dyDescent="0.3"/>
    <row r="2093" ht="20.05" customHeight="1" x14ac:dyDescent="0.3"/>
    <row r="2094" ht="20.05" customHeight="1" x14ac:dyDescent="0.3"/>
    <row r="2095" ht="20.05" customHeight="1" x14ac:dyDescent="0.3"/>
    <row r="2096" ht="20.05" customHeight="1" x14ac:dyDescent="0.3"/>
    <row r="2097" ht="20.05" customHeight="1" x14ac:dyDescent="0.3"/>
    <row r="2098" ht="20.05" customHeight="1" x14ac:dyDescent="0.3"/>
    <row r="2099" ht="20.05" customHeight="1" x14ac:dyDescent="0.3"/>
    <row r="2100" ht="20.05" customHeight="1" x14ac:dyDescent="0.3"/>
    <row r="2101" ht="20.05" customHeight="1" x14ac:dyDescent="0.3"/>
    <row r="2102" ht="20.05" customHeight="1" x14ac:dyDescent="0.3"/>
    <row r="2103" ht="20.05" customHeight="1" x14ac:dyDescent="0.3"/>
    <row r="2104" ht="20.05" customHeight="1" x14ac:dyDescent="0.3"/>
    <row r="2105" ht="20.05" customHeight="1" x14ac:dyDescent="0.3"/>
    <row r="2106" ht="20.05" customHeight="1" x14ac:dyDescent="0.3"/>
    <row r="2107" ht="20.05" customHeight="1" x14ac:dyDescent="0.3"/>
    <row r="2108" ht="20.05" customHeight="1" x14ac:dyDescent="0.3"/>
    <row r="2109" ht="20.05" customHeight="1" x14ac:dyDescent="0.3"/>
    <row r="2110" ht="20.05" customHeight="1" x14ac:dyDescent="0.3"/>
    <row r="2111" ht="20.05" customHeight="1" x14ac:dyDescent="0.3"/>
    <row r="2112" ht="20.05" customHeight="1" x14ac:dyDescent="0.3"/>
    <row r="2113" ht="20.05" customHeight="1" x14ac:dyDescent="0.3"/>
    <row r="2114" ht="20.05" customHeight="1" x14ac:dyDescent="0.3"/>
    <row r="2115" ht="20.05" customHeight="1" x14ac:dyDescent="0.3"/>
    <row r="2116" ht="20.05" customHeight="1" x14ac:dyDescent="0.3"/>
    <row r="2117" ht="20.05" customHeight="1" x14ac:dyDescent="0.3"/>
    <row r="2118" ht="20.05" customHeight="1" x14ac:dyDescent="0.3"/>
    <row r="2119" ht="20.05" customHeight="1" x14ac:dyDescent="0.3"/>
    <row r="2120" ht="20.05" customHeight="1" x14ac:dyDescent="0.3"/>
    <row r="2121" ht="20.05" customHeight="1" x14ac:dyDescent="0.3"/>
    <row r="2122" ht="20.05" customHeight="1" x14ac:dyDescent="0.3"/>
    <row r="2123" ht="20.05" customHeight="1" x14ac:dyDescent="0.3"/>
    <row r="2124" ht="20.05" customHeight="1" x14ac:dyDescent="0.3"/>
    <row r="2125" ht="20.05" customHeight="1" x14ac:dyDescent="0.3"/>
    <row r="2126" ht="20.05" customHeight="1" x14ac:dyDescent="0.3"/>
    <row r="2127" ht="20.05" customHeight="1" x14ac:dyDescent="0.3"/>
    <row r="2128" ht="20.05" customHeight="1" x14ac:dyDescent="0.3"/>
    <row r="2129" ht="20.05" customHeight="1" x14ac:dyDescent="0.3"/>
    <row r="2130" ht="20.05" customHeight="1" x14ac:dyDescent="0.3"/>
    <row r="2131" ht="20.05" customHeight="1" x14ac:dyDescent="0.3"/>
    <row r="2132" ht="20.05" customHeight="1" x14ac:dyDescent="0.3"/>
    <row r="2133" ht="20.05" customHeight="1" x14ac:dyDescent="0.3"/>
    <row r="2134" ht="20.05" customHeight="1" x14ac:dyDescent="0.3"/>
    <row r="2135" ht="20.05" customHeight="1" x14ac:dyDescent="0.3"/>
    <row r="2136" ht="20.05" customHeight="1" x14ac:dyDescent="0.3"/>
    <row r="2137" ht="20.05" customHeight="1" x14ac:dyDescent="0.3"/>
    <row r="2138" ht="20.05" customHeight="1" x14ac:dyDescent="0.3"/>
    <row r="2139" ht="20.05" customHeight="1" x14ac:dyDescent="0.3"/>
    <row r="2140" ht="20.05" customHeight="1" x14ac:dyDescent="0.3"/>
    <row r="2141" ht="20.05" customHeight="1" x14ac:dyDescent="0.3"/>
    <row r="2142" ht="20.05" customHeight="1" x14ac:dyDescent="0.3"/>
    <row r="2143" ht="20.05" customHeight="1" x14ac:dyDescent="0.3"/>
    <row r="2144" ht="20.05" customHeight="1" x14ac:dyDescent="0.3"/>
    <row r="2145" ht="20.05" customHeight="1" x14ac:dyDescent="0.3"/>
    <row r="2146" ht="20.05" customHeight="1" x14ac:dyDescent="0.3"/>
    <row r="2147" ht="20.05" customHeight="1" x14ac:dyDescent="0.3"/>
    <row r="2148" ht="20.05" customHeight="1" x14ac:dyDescent="0.3"/>
    <row r="2149" ht="20.05" customHeight="1" x14ac:dyDescent="0.3"/>
    <row r="2150" ht="20.05" customHeight="1" x14ac:dyDescent="0.3"/>
    <row r="2151" ht="20.05" customHeight="1" x14ac:dyDescent="0.3"/>
    <row r="2152" ht="20.05" customHeight="1" x14ac:dyDescent="0.3"/>
    <row r="2153" ht="20.05" customHeight="1" x14ac:dyDescent="0.3"/>
    <row r="2154" ht="20.05" customHeight="1" x14ac:dyDescent="0.3"/>
    <row r="2155" ht="20.05" customHeight="1" x14ac:dyDescent="0.3"/>
    <row r="2156" ht="20.05" customHeight="1" x14ac:dyDescent="0.3"/>
    <row r="2157" ht="20.05" customHeight="1" x14ac:dyDescent="0.3"/>
    <row r="2158" ht="20.05" customHeight="1" x14ac:dyDescent="0.3"/>
    <row r="2159" ht="20.05" customHeight="1" x14ac:dyDescent="0.3"/>
    <row r="2160" ht="20.05" customHeight="1" x14ac:dyDescent="0.3"/>
    <row r="2161" ht="20.05" customHeight="1" x14ac:dyDescent="0.3"/>
    <row r="2162" ht="20.05" customHeight="1" x14ac:dyDescent="0.3"/>
    <row r="2163" ht="20.05" customHeight="1" x14ac:dyDescent="0.3"/>
    <row r="2164" ht="20.05" customHeight="1" x14ac:dyDescent="0.3"/>
    <row r="2165" ht="20.05" customHeight="1" x14ac:dyDescent="0.3"/>
    <row r="2166" ht="20.05" customHeight="1" x14ac:dyDescent="0.3"/>
    <row r="2167" ht="20.05" customHeight="1" x14ac:dyDescent="0.3"/>
    <row r="2168" ht="20.05" customHeight="1" x14ac:dyDescent="0.3"/>
    <row r="2169" ht="20.05" customHeight="1" x14ac:dyDescent="0.3"/>
    <row r="2170" ht="20.05" customHeight="1" x14ac:dyDescent="0.3"/>
    <row r="2171" ht="20.05" customHeight="1" x14ac:dyDescent="0.3"/>
    <row r="2172" ht="20.05" customHeight="1" x14ac:dyDescent="0.3"/>
    <row r="2173" ht="20.05" customHeight="1" x14ac:dyDescent="0.3"/>
    <row r="2174" ht="20.05" customHeight="1" x14ac:dyDescent="0.3"/>
    <row r="2175" ht="20.05" customHeight="1" x14ac:dyDescent="0.3"/>
    <row r="2176" ht="20.05" customHeight="1" x14ac:dyDescent="0.3"/>
    <row r="2177" ht="20.05" customHeight="1" x14ac:dyDescent="0.3"/>
    <row r="2178" ht="20.05" customHeight="1" x14ac:dyDescent="0.3"/>
    <row r="2179" ht="20.05" customHeight="1" x14ac:dyDescent="0.3"/>
    <row r="2180" ht="20.05" customHeight="1" x14ac:dyDescent="0.3"/>
    <row r="2181" ht="20.05" customHeight="1" x14ac:dyDescent="0.3"/>
    <row r="2182" ht="20.05" customHeight="1" x14ac:dyDescent="0.3"/>
    <row r="2183" ht="20.05" customHeight="1" x14ac:dyDescent="0.3"/>
    <row r="2184" ht="20.05" customHeight="1" x14ac:dyDescent="0.3"/>
    <row r="2185" ht="20.05" customHeight="1" x14ac:dyDescent="0.3"/>
    <row r="2186" ht="20.05" customHeight="1" x14ac:dyDescent="0.3"/>
    <row r="2187" ht="20.05" customHeight="1" x14ac:dyDescent="0.3"/>
    <row r="2188" ht="20.05" customHeight="1" x14ac:dyDescent="0.3"/>
    <row r="2189" ht="20.05" customHeight="1" x14ac:dyDescent="0.3"/>
    <row r="2190" ht="20.05" customHeight="1" x14ac:dyDescent="0.3"/>
    <row r="2191" ht="20.05" customHeight="1" x14ac:dyDescent="0.3"/>
    <row r="2192" ht="20.05" customHeight="1" x14ac:dyDescent="0.3"/>
    <row r="2193" ht="20.05" customHeight="1" x14ac:dyDescent="0.3"/>
    <row r="2194" ht="20.05" customHeight="1" x14ac:dyDescent="0.3"/>
    <row r="2195" ht="20.05" customHeight="1" x14ac:dyDescent="0.3"/>
    <row r="2196" ht="20.05" customHeight="1" x14ac:dyDescent="0.3"/>
    <row r="2197" ht="20.05" customHeight="1" x14ac:dyDescent="0.3"/>
  </sheetData>
  <sheetProtection algorithmName="SHA-512" hashValue="6mQl8ecCcxtT+5bikx5eqORfpX84gGaQ55fr7nkmT2R6VCzVfF2JXNA3y/LEPQx+DUy2k3HjAtNlVI4cpxqjpA==" saltValue="yqNzwJ83W20qMGFjloBh7g==" spinCount="100000" sheet="1" objects="1" scenarios="1" selectLockedCells="1"/>
  <mergeCells count="1">
    <mergeCell ref="A1:B1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F680D-809E-4C74-B056-CF67E34E5BEB}">
  <sheetPr codeName="Sheet2">
    <tabColor rgb="FF00B050"/>
  </sheetPr>
  <dimension ref="A1:P2197"/>
  <sheetViews>
    <sheetView tabSelected="1" workbookViewId="0">
      <selection activeCell="M7" sqref="M7"/>
    </sheetView>
  </sheetViews>
  <sheetFormatPr defaultColWidth="9.109375" defaultRowHeight="15.05" x14ac:dyDescent="0.3"/>
  <cols>
    <col min="1" max="1" width="18.109375" style="1" customWidth="1"/>
    <col min="2" max="2" width="27.33203125" style="1" customWidth="1"/>
    <col min="3" max="16384" width="9.109375" style="1"/>
  </cols>
  <sheetData>
    <row r="1" spans="1:16" ht="98.3" customHeight="1" x14ac:dyDescent="0.3">
      <c r="A1" s="121"/>
      <c r="B1" s="121"/>
      <c r="C1" s="5"/>
      <c r="D1" s="5"/>
      <c r="E1" s="5"/>
      <c r="F1" s="5"/>
      <c r="G1" s="5"/>
    </row>
    <row r="2" spans="1:16" ht="20.05" customHeight="1" x14ac:dyDescent="0.3">
      <c r="A2" s="3" t="s">
        <v>0</v>
      </c>
      <c r="B2" s="4">
        <f>'Client Information'!B2</f>
        <v>0</v>
      </c>
      <c r="C2" s="6"/>
      <c r="D2" s="6"/>
      <c r="E2" s="6"/>
      <c r="F2" s="6"/>
      <c r="G2" s="6"/>
    </row>
    <row r="3" spans="1:16" ht="20.05" customHeight="1" x14ac:dyDescent="0.3">
      <c r="A3" s="3" t="s">
        <v>1</v>
      </c>
      <c r="B3" s="4">
        <f>'Client Information'!B3</f>
        <v>0</v>
      </c>
      <c r="C3" s="6"/>
      <c r="D3" s="6"/>
      <c r="E3" s="6"/>
      <c r="F3" s="6"/>
      <c r="G3" s="6"/>
    </row>
    <row r="4" spans="1:16" ht="20.05" customHeight="1" x14ac:dyDescent="0.3">
      <c r="A4" s="3" t="s">
        <v>2</v>
      </c>
      <c r="B4" s="4">
        <f>'Client Information'!B4</f>
        <v>0</v>
      </c>
      <c r="C4" s="6"/>
      <c r="D4" s="6"/>
      <c r="E4" s="6"/>
      <c r="F4" s="6"/>
      <c r="G4" s="6"/>
    </row>
    <row r="5" spans="1:16" ht="20.05" customHeight="1" x14ac:dyDescent="0.3">
      <c r="A5" s="3" t="s">
        <v>3</v>
      </c>
      <c r="B5" s="4">
        <f>'Client Information'!B5</f>
        <v>0</v>
      </c>
      <c r="C5" s="6"/>
      <c r="D5" s="6"/>
      <c r="E5" s="6"/>
      <c r="F5" s="6"/>
      <c r="G5" s="6"/>
    </row>
    <row r="6" spans="1:16" ht="20.05" customHeight="1" x14ac:dyDescent="0.3">
      <c r="A6" s="3" t="s">
        <v>4</v>
      </c>
      <c r="B6" s="4">
        <f>'Client Information'!B6</f>
        <v>0</v>
      </c>
      <c r="C6" s="6"/>
      <c r="D6" s="6"/>
      <c r="E6" s="6"/>
      <c r="F6" s="6"/>
      <c r="G6" s="6"/>
    </row>
    <row r="7" spans="1:16" ht="20.05" customHeight="1" x14ac:dyDescent="0.3">
      <c r="A7" s="3" t="s">
        <v>5</v>
      </c>
      <c r="B7" s="4">
        <f>'Client Information'!B7</f>
        <v>0</v>
      </c>
      <c r="C7" s="6"/>
      <c r="D7" s="6"/>
      <c r="E7" s="6"/>
      <c r="F7" s="6"/>
      <c r="G7" s="6"/>
    </row>
    <row r="8" spans="1:16" ht="20.05" customHeight="1" x14ac:dyDescent="0.3">
      <c r="A8" s="3" t="s">
        <v>6</v>
      </c>
      <c r="B8" s="4">
        <f>'Client Information'!B8</f>
        <v>0</v>
      </c>
      <c r="C8" s="6"/>
      <c r="D8" s="6"/>
      <c r="E8" s="6"/>
      <c r="F8" s="6"/>
      <c r="G8" s="6"/>
    </row>
    <row r="9" spans="1:16" ht="20.05" customHeight="1" x14ac:dyDescent="0.3">
      <c r="A9" s="3" t="s">
        <v>7</v>
      </c>
      <c r="B9" s="4">
        <f>'Client Information'!B9</f>
        <v>0</v>
      </c>
      <c r="C9" s="6"/>
      <c r="D9" s="6"/>
      <c r="E9" s="6"/>
      <c r="F9" s="6"/>
      <c r="G9" s="6"/>
    </row>
    <row r="10" spans="1:16" ht="20.05" customHeight="1" x14ac:dyDescent="0.3">
      <c r="A10" s="3" t="s">
        <v>8</v>
      </c>
      <c r="B10" s="4">
        <f>'Client Information'!B10</f>
        <v>0</v>
      </c>
      <c r="C10" s="6"/>
      <c r="D10" s="6"/>
      <c r="E10" s="6"/>
      <c r="F10" s="6"/>
      <c r="G10" s="6"/>
      <c r="P10"/>
    </row>
    <row r="11" spans="1:16" ht="20.05" customHeight="1" x14ac:dyDescent="0.3">
      <c r="C11" s="6"/>
      <c r="D11" s="6"/>
      <c r="E11" s="6"/>
      <c r="F11" s="6"/>
      <c r="G11" s="6"/>
    </row>
    <row r="12" spans="1:16" ht="20.05" customHeight="1" x14ac:dyDescent="0.3">
      <c r="C12" s="6"/>
      <c r="D12" s="6"/>
      <c r="E12" s="6"/>
      <c r="F12" s="6"/>
      <c r="G12" s="6"/>
    </row>
    <row r="13" spans="1:16" ht="20.05" customHeight="1" x14ac:dyDescent="0.3">
      <c r="C13" s="6"/>
      <c r="D13" s="6"/>
      <c r="E13" s="6"/>
      <c r="F13" s="6"/>
      <c r="G13" s="6"/>
    </row>
    <row r="14" spans="1:16" ht="20.05" customHeight="1" x14ac:dyDescent="0.3">
      <c r="C14" s="6"/>
      <c r="D14" s="6"/>
      <c r="E14" s="6"/>
      <c r="F14" s="6"/>
      <c r="G14" s="6"/>
    </row>
    <row r="15" spans="1:16" ht="20.05" customHeight="1" x14ac:dyDescent="0.3">
      <c r="C15" s="6"/>
      <c r="D15" s="6"/>
      <c r="E15" s="6"/>
      <c r="F15" s="6"/>
      <c r="G15" s="6"/>
    </row>
    <row r="16" spans="1:16" ht="20.05" customHeight="1" x14ac:dyDescent="0.3">
      <c r="C16" s="6"/>
      <c r="D16" s="6"/>
      <c r="E16" s="6"/>
      <c r="F16" s="6"/>
      <c r="G16" s="6"/>
    </row>
    <row r="17" spans="3:7" ht="20.05" customHeight="1" x14ac:dyDescent="0.3">
      <c r="C17" s="6"/>
      <c r="D17" s="6"/>
      <c r="E17" s="6"/>
      <c r="F17" s="6"/>
      <c r="G17" s="6"/>
    </row>
    <row r="18" spans="3:7" ht="20.05" customHeight="1" x14ac:dyDescent="0.3">
      <c r="C18" s="6"/>
      <c r="D18" s="6"/>
      <c r="E18" s="6"/>
      <c r="F18" s="6"/>
      <c r="G18" s="6"/>
    </row>
    <row r="19" spans="3:7" ht="20.05" customHeight="1" x14ac:dyDescent="0.3">
      <c r="C19" s="6"/>
      <c r="D19" s="6"/>
      <c r="E19" s="6"/>
      <c r="F19" s="6"/>
      <c r="G19" s="6"/>
    </row>
    <row r="20" spans="3:7" ht="20.05" customHeight="1" x14ac:dyDescent="0.3">
      <c r="C20" s="6"/>
      <c r="D20" s="6"/>
      <c r="E20" s="6"/>
      <c r="F20" s="6"/>
      <c r="G20" s="6"/>
    </row>
    <row r="21" spans="3:7" ht="20.05" customHeight="1" x14ac:dyDescent="0.3"/>
    <row r="22" spans="3:7" ht="20.05" customHeight="1" x14ac:dyDescent="0.3"/>
    <row r="23" spans="3:7" ht="20.05" customHeight="1" x14ac:dyDescent="0.3"/>
    <row r="24" spans="3:7" ht="20.05" customHeight="1" x14ac:dyDescent="0.3"/>
    <row r="25" spans="3:7" ht="20.05" customHeight="1" x14ac:dyDescent="0.3"/>
    <row r="26" spans="3:7" ht="20.05" customHeight="1" x14ac:dyDescent="0.3"/>
    <row r="27" spans="3:7" ht="20.05" customHeight="1" x14ac:dyDescent="0.3"/>
    <row r="28" spans="3:7" ht="20.05" customHeight="1" x14ac:dyDescent="0.3"/>
    <row r="29" spans="3:7" ht="20.05" customHeight="1" x14ac:dyDescent="0.3"/>
    <row r="30" spans="3:7" ht="20.05" customHeight="1" x14ac:dyDescent="0.3"/>
    <row r="31" spans="3:7" ht="20.05" customHeight="1" x14ac:dyDescent="0.3"/>
    <row r="32" spans="3:7" ht="20.05" customHeight="1" x14ac:dyDescent="0.3"/>
    <row r="33" ht="20.05" customHeight="1" x14ac:dyDescent="0.3"/>
    <row r="34" ht="20.05" customHeight="1" x14ac:dyDescent="0.3"/>
    <row r="35" ht="20.05" customHeight="1" x14ac:dyDescent="0.3"/>
    <row r="36" ht="20.05" customHeight="1" x14ac:dyDescent="0.3"/>
    <row r="37" ht="20.05" customHeight="1" x14ac:dyDescent="0.3"/>
    <row r="38" ht="20.05" customHeight="1" x14ac:dyDescent="0.3"/>
    <row r="39" ht="20.05" customHeight="1" x14ac:dyDescent="0.3"/>
    <row r="40" ht="20.05" customHeight="1" x14ac:dyDescent="0.3"/>
    <row r="41" ht="20.05" customHeight="1" x14ac:dyDescent="0.3"/>
    <row r="42" ht="20.05" customHeight="1" x14ac:dyDescent="0.3"/>
    <row r="43" ht="20.05" customHeight="1" x14ac:dyDescent="0.3"/>
    <row r="44" ht="20.05" customHeight="1" x14ac:dyDescent="0.3"/>
    <row r="45" ht="20.05" customHeight="1" x14ac:dyDescent="0.3"/>
    <row r="46" ht="20.05" customHeight="1" x14ac:dyDescent="0.3"/>
    <row r="47" ht="20.05" customHeight="1" x14ac:dyDescent="0.3"/>
    <row r="48" ht="20.05" customHeight="1" x14ac:dyDescent="0.3"/>
    <row r="49" ht="20.05" customHeight="1" x14ac:dyDescent="0.3"/>
    <row r="50" ht="20.05" customHeight="1" x14ac:dyDescent="0.3"/>
    <row r="51" ht="20.05" customHeight="1" x14ac:dyDescent="0.3"/>
    <row r="52" ht="20.05" customHeight="1" x14ac:dyDescent="0.3"/>
    <row r="53" ht="20.05" customHeight="1" x14ac:dyDescent="0.3"/>
    <row r="54" ht="20.05" customHeight="1" x14ac:dyDescent="0.3"/>
    <row r="55" ht="20.05" customHeight="1" x14ac:dyDescent="0.3"/>
    <row r="56" ht="20.05" customHeight="1" x14ac:dyDescent="0.3"/>
    <row r="57" ht="20.05" customHeight="1" x14ac:dyDescent="0.3"/>
    <row r="58" ht="20.05" customHeight="1" x14ac:dyDescent="0.3"/>
    <row r="59" ht="20.05" customHeight="1" x14ac:dyDescent="0.3"/>
    <row r="60" ht="20.05" customHeight="1" x14ac:dyDescent="0.3"/>
    <row r="61" ht="20.05" customHeight="1" x14ac:dyDescent="0.3"/>
    <row r="62" ht="20.05" customHeight="1" x14ac:dyDescent="0.3"/>
    <row r="63" ht="20.05" customHeight="1" x14ac:dyDescent="0.3"/>
    <row r="64" ht="20.05" customHeight="1" x14ac:dyDescent="0.3"/>
    <row r="65" ht="20.05" customHeight="1" x14ac:dyDescent="0.3"/>
    <row r="66" ht="20.05" customHeight="1" x14ac:dyDescent="0.3"/>
    <row r="67" ht="20.05" customHeight="1" x14ac:dyDescent="0.3"/>
    <row r="68" ht="20.05" customHeight="1" x14ac:dyDescent="0.3"/>
    <row r="69" ht="20.05" customHeight="1" x14ac:dyDescent="0.3"/>
    <row r="70" ht="20.05" customHeight="1" x14ac:dyDescent="0.3"/>
    <row r="71" ht="20.05" customHeight="1" x14ac:dyDescent="0.3"/>
    <row r="72" ht="20.05" customHeight="1" x14ac:dyDescent="0.3"/>
    <row r="73" ht="20.05" customHeight="1" x14ac:dyDescent="0.3"/>
    <row r="74" ht="20.05" customHeight="1" x14ac:dyDescent="0.3"/>
    <row r="75" ht="20.05" customHeight="1" x14ac:dyDescent="0.3"/>
    <row r="76" ht="20.05" customHeight="1" x14ac:dyDescent="0.3"/>
    <row r="77" ht="20.05" customHeight="1" x14ac:dyDescent="0.3"/>
    <row r="78" ht="20.05" customHeight="1" x14ac:dyDescent="0.3"/>
    <row r="79" ht="20.05" customHeight="1" x14ac:dyDescent="0.3"/>
    <row r="80" ht="20.05" customHeight="1" x14ac:dyDescent="0.3"/>
    <row r="81" ht="20.05" customHeight="1" x14ac:dyDescent="0.3"/>
    <row r="82" ht="20.05" customHeight="1" x14ac:dyDescent="0.3"/>
    <row r="83" ht="20.05" customHeight="1" x14ac:dyDescent="0.3"/>
    <row r="84" ht="20.05" customHeight="1" x14ac:dyDescent="0.3"/>
    <row r="85" ht="20.05" customHeight="1" x14ac:dyDescent="0.3"/>
    <row r="86" ht="20.05" customHeight="1" x14ac:dyDescent="0.3"/>
    <row r="87" ht="20.05" customHeight="1" x14ac:dyDescent="0.3"/>
    <row r="88" ht="20.05" customHeight="1" x14ac:dyDescent="0.3"/>
    <row r="89" ht="20.05" customHeight="1" x14ac:dyDescent="0.3"/>
    <row r="90" ht="20.05" customHeight="1" x14ac:dyDescent="0.3"/>
    <row r="91" ht="20.05" customHeight="1" x14ac:dyDescent="0.3"/>
    <row r="92" ht="20.05" customHeight="1" x14ac:dyDescent="0.3"/>
    <row r="93" ht="20.05" customHeight="1" x14ac:dyDescent="0.3"/>
    <row r="94" ht="20.05" customHeight="1" x14ac:dyDescent="0.3"/>
    <row r="95" ht="20.05" customHeight="1" x14ac:dyDescent="0.3"/>
    <row r="96" ht="20.05" customHeight="1" x14ac:dyDescent="0.3"/>
    <row r="97" ht="20.05" customHeight="1" x14ac:dyDescent="0.3"/>
    <row r="98" ht="20.05" customHeight="1" x14ac:dyDescent="0.3"/>
    <row r="99" ht="20.05" customHeight="1" x14ac:dyDescent="0.3"/>
    <row r="100" ht="20.05" customHeight="1" x14ac:dyDescent="0.3"/>
    <row r="101" ht="20.05" customHeight="1" x14ac:dyDescent="0.3"/>
    <row r="102" ht="20.05" customHeight="1" x14ac:dyDescent="0.3"/>
    <row r="103" ht="20.05" customHeight="1" x14ac:dyDescent="0.3"/>
    <row r="104" ht="20.05" customHeight="1" x14ac:dyDescent="0.3"/>
    <row r="105" ht="20.05" customHeight="1" x14ac:dyDescent="0.3"/>
    <row r="106" ht="20.05" customHeight="1" x14ac:dyDescent="0.3"/>
    <row r="107" ht="20.05" customHeight="1" x14ac:dyDescent="0.3"/>
    <row r="108" ht="20.05" customHeight="1" x14ac:dyDescent="0.3"/>
    <row r="109" ht="20.05" customHeight="1" x14ac:dyDescent="0.3"/>
    <row r="110" ht="20.05" customHeight="1" x14ac:dyDescent="0.3"/>
    <row r="111" ht="20.05" customHeight="1" x14ac:dyDescent="0.3"/>
    <row r="112" ht="20.05" customHeight="1" x14ac:dyDescent="0.3"/>
    <row r="113" ht="20.05" customHeight="1" x14ac:dyDescent="0.3"/>
    <row r="114" ht="20.05" customHeight="1" x14ac:dyDescent="0.3"/>
    <row r="115" ht="20.05" customHeight="1" x14ac:dyDescent="0.3"/>
    <row r="116" ht="20.05" customHeight="1" x14ac:dyDescent="0.3"/>
    <row r="117" ht="20.05" customHeight="1" x14ac:dyDescent="0.3"/>
    <row r="118" ht="20.05" customHeight="1" x14ac:dyDescent="0.3"/>
    <row r="119" ht="20.05" customHeight="1" x14ac:dyDescent="0.3"/>
    <row r="120" ht="20.05" customHeight="1" x14ac:dyDescent="0.3"/>
    <row r="121" ht="20.05" customHeight="1" x14ac:dyDescent="0.3"/>
    <row r="122" ht="20.05" customHeight="1" x14ac:dyDescent="0.3"/>
    <row r="123" ht="20.05" customHeight="1" x14ac:dyDescent="0.3"/>
    <row r="124" ht="20.05" customHeight="1" x14ac:dyDescent="0.3"/>
    <row r="125" ht="20.05" customHeight="1" x14ac:dyDescent="0.3"/>
    <row r="126" ht="20.05" customHeight="1" x14ac:dyDescent="0.3"/>
    <row r="127" ht="20.05" customHeight="1" x14ac:dyDescent="0.3"/>
    <row r="128" ht="20.05" customHeight="1" x14ac:dyDescent="0.3"/>
    <row r="129" ht="20.05" customHeight="1" x14ac:dyDescent="0.3"/>
    <row r="130" ht="20.05" customHeight="1" x14ac:dyDescent="0.3"/>
    <row r="131" ht="20.05" customHeight="1" x14ac:dyDescent="0.3"/>
    <row r="132" ht="20.05" customHeight="1" x14ac:dyDescent="0.3"/>
    <row r="133" ht="20.05" customHeight="1" x14ac:dyDescent="0.3"/>
    <row r="134" ht="20.05" customHeight="1" x14ac:dyDescent="0.3"/>
    <row r="135" ht="20.05" customHeight="1" x14ac:dyDescent="0.3"/>
    <row r="136" ht="20.05" customHeight="1" x14ac:dyDescent="0.3"/>
    <row r="137" ht="20.05" customHeight="1" x14ac:dyDescent="0.3"/>
    <row r="138" ht="20.05" customHeight="1" x14ac:dyDescent="0.3"/>
    <row r="139" ht="20.05" customHeight="1" x14ac:dyDescent="0.3"/>
    <row r="140" ht="20.05" customHeight="1" x14ac:dyDescent="0.3"/>
    <row r="141" ht="20.05" customHeight="1" x14ac:dyDescent="0.3"/>
    <row r="142" ht="20.05" customHeight="1" x14ac:dyDescent="0.3"/>
    <row r="143" ht="20.05" customHeight="1" x14ac:dyDescent="0.3"/>
    <row r="144" ht="20.05" customHeight="1" x14ac:dyDescent="0.3"/>
    <row r="145" ht="20.05" customHeight="1" x14ac:dyDescent="0.3"/>
    <row r="146" ht="20.05" customHeight="1" x14ac:dyDescent="0.3"/>
    <row r="147" ht="20.05" customHeight="1" x14ac:dyDescent="0.3"/>
    <row r="148" ht="20.05" customHeight="1" x14ac:dyDescent="0.3"/>
    <row r="149" ht="20.05" customHeight="1" x14ac:dyDescent="0.3"/>
    <row r="150" ht="20.05" customHeight="1" x14ac:dyDescent="0.3"/>
    <row r="151" ht="20.05" customHeight="1" x14ac:dyDescent="0.3"/>
    <row r="152" ht="20.05" customHeight="1" x14ac:dyDescent="0.3"/>
    <row r="153" ht="20.05" customHeight="1" x14ac:dyDescent="0.3"/>
    <row r="154" ht="20.05" customHeight="1" x14ac:dyDescent="0.3"/>
    <row r="155" ht="20.05" customHeight="1" x14ac:dyDescent="0.3"/>
    <row r="156" ht="20.05" customHeight="1" x14ac:dyDescent="0.3"/>
    <row r="157" ht="20.05" customHeight="1" x14ac:dyDescent="0.3"/>
    <row r="158" ht="20.05" customHeight="1" x14ac:dyDescent="0.3"/>
    <row r="159" ht="20.05" customHeight="1" x14ac:dyDescent="0.3"/>
    <row r="160" ht="20.05" customHeight="1" x14ac:dyDescent="0.3"/>
    <row r="161" ht="20.05" customHeight="1" x14ac:dyDescent="0.3"/>
    <row r="162" ht="20.05" customHeight="1" x14ac:dyDescent="0.3"/>
    <row r="163" ht="20.05" customHeight="1" x14ac:dyDescent="0.3"/>
    <row r="164" ht="20.05" customHeight="1" x14ac:dyDescent="0.3"/>
    <row r="165" ht="20.05" customHeight="1" x14ac:dyDescent="0.3"/>
    <row r="166" ht="20.05" customHeight="1" x14ac:dyDescent="0.3"/>
    <row r="167" ht="20.05" customHeight="1" x14ac:dyDescent="0.3"/>
    <row r="168" ht="20.05" customHeight="1" x14ac:dyDescent="0.3"/>
    <row r="169" ht="20.05" customHeight="1" x14ac:dyDescent="0.3"/>
    <row r="170" ht="20.05" customHeight="1" x14ac:dyDescent="0.3"/>
    <row r="171" ht="20.05" customHeight="1" x14ac:dyDescent="0.3"/>
    <row r="172" ht="20.05" customHeight="1" x14ac:dyDescent="0.3"/>
    <row r="173" ht="20.05" customHeight="1" x14ac:dyDescent="0.3"/>
    <row r="174" ht="20.05" customHeight="1" x14ac:dyDescent="0.3"/>
    <row r="175" ht="20.05" customHeight="1" x14ac:dyDescent="0.3"/>
    <row r="176" ht="20.05" customHeight="1" x14ac:dyDescent="0.3"/>
    <row r="177" ht="20.05" customHeight="1" x14ac:dyDescent="0.3"/>
    <row r="178" ht="20.05" customHeight="1" x14ac:dyDescent="0.3"/>
    <row r="179" ht="20.05" customHeight="1" x14ac:dyDescent="0.3"/>
    <row r="180" ht="20.05" customHeight="1" x14ac:dyDescent="0.3"/>
    <row r="181" ht="20.05" customHeight="1" x14ac:dyDescent="0.3"/>
    <row r="182" ht="20.05" customHeight="1" x14ac:dyDescent="0.3"/>
    <row r="183" ht="20.05" customHeight="1" x14ac:dyDescent="0.3"/>
    <row r="184" ht="20.05" customHeight="1" x14ac:dyDescent="0.3"/>
    <row r="185" ht="20.05" customHeight="1" x14ac:dyDescent="0.3"/>
    <row r="186" ht="20.05" customHeight="1" x14ac:dyDescent="0.3"/>
    <row r="187" ht="20.05" customHeight="1" x14ac:dyDescent="0.3"/>
    <row r="188" ht="20.05" customHeight="1" x14ac:dyDescent="0.3"/>
    <row r="189" ht="20.05" customHeight="1" x14ac:dyDescent="0.3"/>
    <row r="190" ht="20.05" customHeight="1" x14ac:dyDescent="0.3"/>
    <row r="191" ht="20.05" customHeight="1" x14ac:dyDescent="0.3"/>
    <row r="192" ht="20.05" customHeight="1" x14ac:dyDescent="0.3"/>
    <row r="193" ht="20.05" customHeight="1" x14ac:dyDescent="0.3"/>
    <row r="194" ht="20.05" customHeight="1" x14ac:dyDescent="0.3"/>
    <row r="195" ht="20.05" customHeight="1" x14ac:dyDescent="0.3"/>
    <row r="196" ht="20.05" customHeight="1" x14ac:dyDescent="0.3"/>
    <row r="197" ht="20.05" customHeight="1" x14ac:dyDescent="0.3"/>
    <row r="198" ht="20.05" customHeight="1" x14ac:dyDescent="0.3"/>
    <row r="199" ht="20.05" customHeight="1" x14ac:dyDescent="0.3"/>
    <row r="200" ht="20.05" customHeight="1" x14ac:dyDescent="0.3"/>
    <row r="201" ht="20.05" customHeight="1" x14ac:dyDescent="0.3"/>
    <row r="202" ht="20.05" customHeight="1" x14ac:dyDescent="0.3"/>
    <row r="203" ht="20.05" customHeight="1" x14ac:dyDescent="0.3"/>
    <row r="204" ht="20.05" customHeight="1" x14ac:dyDescent="0.3"/>
    <row r="205" ht="20.05" customHeight="1" x14ac:dyDescent="0.3"/>
    <row r="206" ht="20.05" customHeight="1" x14ac:dyDescent="0.3"/>
    <row r="207" ht="20.05" customHeight="1" x14ac:dyDescent="0.3"/>
    <row r="208" ht="20.05" customHeight="1" x14ac:dyDescent="0.3"/>
    <row r="209" ht="20.05" customHeight="1" x14ac:dyDescent="0.3"/>
    <row r="210" ht="20.05" customHeight="1" x14ac:dyDescent="0.3"/>
    <row r="211" ht="20.05" customHeight="1" x14ac:dyDescent="0.3"/>
    <row r="212" ht="20.05" customHeight="1" x14ac:dyDescent="0.3"/>
    <row r="213" ht="20.05" customHeight="1" x14ac:dyDescent="0.3"/>
    <row r="214" ht="20.05" customHeight="1" x14ac:dyDescent="0.3"/>
    <row r="215" ht="20.05" customHeight="1" x14ac:dyDescent="0.3"/>
    <row r="216" ht="20.05" customHeight="1" x14ac:dyDescent="0.3"/>
    <row r="217" ht="20.05" customHeight="1" x14ac:dyDescent="0.3"/>
    <row r="218" ht="20.05" customHeight="1" x14ac:dyDescent="0.3"/>
    <row r="219" ht="20.05" customHeight="1" x14ac:dyDescent="0.3"/>
    <row r="220" ht="20.05" customHeight="1" x14ac:dyDescent="0.3"/>
    <row r="221" ht="20.05" customHeight="1" x14ac:dyDescent="0.3"/>
    <row r="222" ht="20.05" customHeight="1" x14ac:dyDescent="0.3"/>
    <row r="223" ht="20.05" customHeight="1" x14ac:dyDescent="0.3"/>
    <row r="224" ht="20.05" customHeight="1" x14ac:dyDescent="0.3"/>
    <row r="225" ht="20.05" customHeight="1" x14ac:dyDescent="0.3"/>
    <row r="226" ht="20.05" customHeight="1" x14ac:dyDescent="0.3"/>
    <row r="227" ht="20.05" customHeight="1" x14ac:dyDescent="0.3"/>
    <row r="228" ht="20.05" customHeight="1" x14ac:dyDescent="0.3"/>
    <row r="229" ht="20.05" customHeight="1" x14ac:dyDescent="0.3"/>
    <row r="230" ht="20.05" customHeight="1" x14ac:dyDescent="0.3"/>
    <row r="231" ht="20.05" customHeight="1" x14ac:dyDescent="0.3"/>
    <row r="232" ht="20.05" customHeight="1" x14ac:dyDescent="0.3"/>
    <row r="233" ht="20.05" customHeight="1" x14ac:dyDescent="0.3"/>
    <row r="234" ht="20.05" customHeight="1" x14ac:dyDescent="0.3"/>
    <row r="235" ht="20.05" customHeight="1" x14ac:dyDescent="0.3"/>
    <row r="236" ht="20.05" customHeight="1" x14ac:dyDescent="0.3"/>
    <row r="237" ht="20.05" customHeight="1" x14ac:dyDescent="0.3"/>
    <row r="238" ht="20.05" customHeight="1" x14ac:dyDescent="0.3"/>
    <row r="239" ht="20.05" customHeight="1" x14ac:dyDescent="0.3"/>
    <row r="240" ht="20.05" customHeight="1" x14ac:dyDescent="0.3"/>
    <row r="241" ht="20.05" customHeight="1" x14ac:dyDescent="0.3"/>
    <row r="242" ht="20.05" customHeight="1" x14ac:dyDescent="0.3"/>
    <row r="243" ht="20.05" customHeight="1" x14ac:dyDescent="0.3"/>
    <row r="244" ht="20.05" customHeight="1" x14ac:dyDescent="0.3"/>
    <row r="245" ht="20.05" customHeight="1" x14ac:dyDescent="0.3"/>
    <row r="246" ht="20.05" customHeight="1" x14ac:dyDescent="0.3"/>
    <row r="247" ht="20.05" customHeight="1" x14ac:dyDescent="0.3"/>
    <row r="248" ht="20.05" customHeight="1" x14ac:dyDescent="0.3"/>
    <row r="249" ht="20.05" customHeight="1" x14ac:dyDescent="0.3"/>
    <row r="250" ht="20.05" customHeight="1" x14ac:dyDescent="0.3"/>
    <row r="251" ht="20.05" customHeight="1" x14ac:dyDescent="0.3"/>
    <row r="252" ht="20.05" customHeight="1" x14ac:dyDescent="0.3"/>
    <row r="253" ht="20.05" customHeight="1" x14ac:dyDescent="0.3"/>
    <row r="254" ht="20.05" customHeight="1" x14ac:dyDescent="0.3"/>
    <row r="255" ht="20.05" customHeight="1" x14ac:dyDescent="0.3"/>
    <row r="256" ht="20.05" customHeight="1" x14ac:dyDescent="0.3"/>
    <row r="257" ht="20.05" customHeight="1" x14ac:dyDescent="0.3"/>
    <row r="258" ht="20.05" customHeight="1" x14ac:dyDescent="0.3"/>
    <row r="259" ht="20.05" customHeight="1" x14ac:dyDescent="0.3"/>
    <row r="260" ht="20.05" customHeight="1" x14ac:dyDescent="0.3"/>
    <row r="261" ht="20.05" customHeight="1" x14ac:dyDescent="0.3"/>
    <row r="262" ht="20.05" customHeight="1" x14ac:dyDescent="0.3"/>
    <row r="263" ht="20.05" customHeight="1" x14ac:dyDescent="0.3"/>
    <row r="264" ht="20.05" customHeight="1" x14ac:dyDescent="0.3"/>
    <row r="265" ht="20.05" customHeight="1" x14ac:dyDescent="0.3"/>
    <row r="266" ht="20.05" customHeight="1" x14ac:dyDescent="0.3"/>
    <row r="267" ht="20.05" customHeight="1" x14ac:dyDescent="0.3"/>
    <row r="268" ht="20.05" customHeight="1" x14ac:dyDescent="0.3"/>
    <row r="269" ht="20.05" customHeight="1" x14ac:dyDescent="0.3"/>
    <row r="270" ht="20.05" customHeight="1" x14ac:dyDescent="0.3"/>
    <row r="271" ht="20.05" customHeight="1" x14ac:dyDescent="0.3"/>
    <row r="272" ht="20.05" customHeight="1" x14ac:dyDescent="0.3"/>
    <row r="273" ht="20.05" customHeight="1" x14ac:dyDescent="0.3"/>
    <row r="274" ht="20.05" customHeight="1" x14ac:dyDescent="0.3"/>
    <row r="275" ht="20.05" customHeight="1" x14ac:dyDescent="0.3"/>
    <row r="276" ht="20.05" customHeight="1" x14ac:dyDescent="0.3"/>
    <row r="277" ht="20.05" customHeight="1" x14ac:dyDescent="0.3"/>
    <row r="278" ht="20.05" customHeight="1" x14ac:dyDescent="0.3"/>
    <row r="279" ht="20.05" customHeight="1" x14ac:dyDescent="0.3"/>
    <row r="280" ht="20.05" customHeight="1" x14ac:dyDescent="0.3"/>
    <row r="281" ht="20.05" customHeight="1" x14ac:dyDescent="0.3"/>
    <row r="282" ht="20.05" customHeight="1" x14ac:dyDescent="0.3"/>
    <row r="283" ht="20.05" customHeight="1" x14ac:dyDescent="0.3"/>
    <row r="284" ht="20.05" customHeight="1" x14ac:dyDescent="0.3"/>
    <row r="285" ht="20.05" customHeight="1" x14ac:dyDescent="0.3"/>
    <row r="286" ht="20.05" customHeight="1" x14ac:dyDescent="0.3"/>
    <row r="287" ht="20.05" customHeight="1" x14ac:dyDescent="0.3"/>
    <row r="288" ht="20.05" customHeight="1" x14ac:dyDescent="0.3"/>
    <row r="289" ht="20.05" customHeight="1" x14ac:dyDescent="0.3"/>
    <row r="290" ht="20.05" customHeight="1" x14ac:dyDescent="0.3"/>
    <row r="291" ht="20.05" customHeight="1" x14ac:dyDescent="0.3"/>
    <row r="292" ht="20.05" customHeight="1" x14ac:dyDescent="0.3"/>
    <row r="293" ht="20.05" customHeight="1" x14ac:dyDescent="0.3"/>
    <row r="294" ht="20.05" customHeight="1" x14ac:dyDescent="0.3"/>
    <row r="295" ht="20.05" customHeight="1" x14ac:dyDescent="0.3"/>
    <row r="296" ht="20.05" customHeight="1" x14ac:dyDescent="0.3"/>
    <row r="297" ht="20.05" customHeight="1" x14ac:dyDescent="0.3"/>
    <row r="298" ht="20.05" customHeight="1" x14ac:dyDescent="0.3"/>
    <row r="299" ht="20.05" customHeight="1" x14ac:dyDescent="0.3"/>
    <row r="300" ht="20.05" customHeight="1" x14ac:dyDescent="0.3"/>
    <row r="301" ht="20.05" customHeight="1" x14ac:dyDescent="0.3"/>
    <row r="302" ht="20.05" customHeight="1" x14ac:dyDescent="0.3"/>
    <row r="303" ht="20.05" customHeight="1" x14ac:dyDescent="0.3"/>
    <row r="304" ht="20.05" customHeight="1" x14ac:dyDescent="0.3"/>
    <row r="305" ht="20.05" customHeight="1" x14ac:dyDescent="0.3"/>
    <row r="306" ht="20.05" customHeight="1" x14ac:dyDescent="0.3"/>
    <row r="307" ht="20.05" customHeight="1" x14ac:dyDescent="0.3"/>
    <row r="308" ht="20.05" customHeight="1" x14ac:dyDescent="0.3"/>
    <row r="309" ht="20.05" customHeight="1" x14ac:dyDescent="0.3"/>
    <row r="310" ht="20.05" customHeight="1" x14ac:dyDescent="0.3"/>
    <row r="311" ht="20.05" customHeight="1" x14ac:dyDescent="0.3"/>
    <row r="312" ht="20.05" customHeight="1" x14ac:dyDescent="0.3"/>
    <row r="313" ht="20.05" customHeight="1" x14ac:dyDescent="0.3"/>
    <row r="314" ht="20.05" customHeight="1" x14ac:dyDescent="0.3"/>
    <row r="315" ht="20.05" customHeight="1" x14ac:dyDescent="0.3"/>
    <row r="316" ht="20.05" customHeight="1" x14ac:dyDescent="0.3"/>
    <row r="317" ht="20.05" customHeight="1" x14ac:dyDescent="0.3"/>
    <row r="318" ht="20.05" customHeight="1" x14ac:dyDescent="0.3"/>
    <row r="319" ht="20.05" customHeight="1" x14ac:dyDescent="0.3"/>
    <row r="320" ht="20.05" customHeight="1" x14ac:dyDescent="0.3"/>
    <row r="321" ht="20.05" customHeight="1" x14ac:dyDescent="0.3"/>
    <row r="322" ht="20.05" customHeight="1" x14ac:dyDescent="0.3"/>
    <row r="323" ht="20.05" customHeight="1" x14ac:dyDescent="0.3"/>
    <row r="324" ht="20.05" customHeight="1" x14ac:dyDescent="0.3"/>
    <row r="325" ht="20.05" customHeight="1" x14ac:dyDescent="0.3"/>
    <row r="326" ht="20.05" customHeight="1" x14ac:dyDescent="0.3"/>
    <row r="327" ht="20.05" customHeight="1" x14ac:dyDescent="0.3"/>
    <row r="328" ht="20.05" customHeight="1" x14ac:dyDescent="0.3"/>
    <row r="329" ht="20.05" customHeight="1" x14ac:dyDescent="0.3"/>
    <row r="330" ht="20.05" customHeight="1" x14ac:dyDescent="0.3"/>
    <row r="331" ht="20.05" customHeight="1" x14ac:dyDescent="0.3"/>
    <row r="332" ht="20.05" customHeight="1" x14ac:dyDescent="0.3"/>
    <row r="333" ht="20.05" customHeight="1" x14ac:dyDescent="0.3"/>
    <row r="334" ht="20.05" customHeight="1" x14ac:dyDescent="0.3"/>
    <row r="335" ht="20.05" customHeight="1" x14ac:dyDescent="0.3"/>
    <row r="336" ht="20.05" customHeight="1" x14ac:dyDescent="0.3"/>
    <row r="337" ht="20.05" customHeight="1" x14ac:dyDescent="0.3"/>
    <row r="338" ht="20.05" customHeight="1" x14ac:dyDescent="0.3"/>
    <row r="339" ht="20.05" customHeight="1" x14ac:dyDescent="0.3"/>
    <row r="340" ht="20.05" customHeight="1" x14ac:dyDescent="0.3"/>
    <row r="341" ht="20.05" customHeight="1" x14ac:dyDescent="0.3"/>
    <row r="342" ht="20.05" customHeight="1" x14ac:dyDescent="0.3"/>
    <row r="343" ht="20.05" customHeight="1" x14ac:dyDescent="0.3"/>
    <row r="344" ht="20.05" customHeight="1" x14ac:dyDescent="0.3"/>
    <row r="345" ht="20.05" customHeight="1" x14ac:dyDescent="0.3"/>
    <row r="346" ht="20.05" customHeight="1" x14ac:dyDescent="0.3"/>
    <row r="347" ht="20.05" customHeight="1" x14ac:dyDescent="0.3"/>
    <row r="348" ht="20.05" customHeight="1" x14ac:dyDescent="0.3"/>
    <row r="349" ht="20.05" customHeight="1" x14ac:dyDescent="0.3"/>
    <row r="350" ht="20.05" customHeight="1" x14ac:dyDescent="0.3"/>
    <row r="351" ht="20.05" customHeight="1" x14ac:dyDescent="0.3"/>
    <row r="352" ht="20.05" customHeight="1" x14ac:dyDescent="0.3"/>
    <row r="353" ht="20.05" customHeight="1" x14ac:dyDescent="0.3"/>
    <row r="354" ht="20.05" customHeight="1" x14ac:dyDescent="0.3"/>
    <row r="355" ht="20.05" customHeight="1" x14ac:dyDescent="0.3"/>
    <row r="356" ht="20.05" customHeight="1" x14ac:dyDescent="0.3"/>
    <row r="357" ht="20.05" customHeight="1" x14ac:dyDescent="0.3"/>
    <row r="358" ht="20.05" customHeight="1" x14ac:dyDescent="0.3"/>
    <row r="359" ht="20.05" customHeight="1" x14ac:dyDescent="0.3"/>
    <row r="360" ht="20.05" customHeight="1" x14ac:dyDescent="0.3"/>
    <row r="361" ht="20.05" customHeight="1" x14ac:dyDescent="0.3"/>
    <row r="362" ht="20.05" customHeight="1" x14ac:dyDescent="0.3"/>
    <row r="363" ht="20.05" customHeight="1" x14ac:dyDescent="0.3"/>
    <row r="364" ht="20.05" customHeight="1" x14ac:dyDescent="0.3"/>
    <row r="365" ht="20.05" customHeight="1" x14ac:dyDescent="0.3"/>
    <row r="366" ht="20.05" customHeight="1" x14ac:dyDescent="0.3"/>
    <row r="367" ht="20.05" customHeight="1" x14ac:dyDescent="0.3"/>
    <row r="368" ht="20.05" customHeight="1" x14ac:dyDescent="0.3"/>
    <row r="369" ht="20.05" customHeight="1" x14ac:dyDescent="0.3"/>
    <row r="370" ht="20.05" customHeight="1" x14ac:dyDescent="0.3"/>
    <row r="371" ht="20.05" customHeight="1" x14ac:dyDescent="0.3"/>
    <row r="372" ht="20.05" customHeight="1" x14ac:dyDescent="0.3"/>
    <row r="373" ht="20.05" customHeight="1" x14ac:dyDescent="0.3"/>
    <row r="374" ht="20.05" customHeight="1" x14ac:dyDescent="0.3"/>
    <row r="375" ht="20.05" customHeight="1" x14ac:dyDescent="0.3"/>
    <row r="376" ht="20.05" customHeight="1" x14ac:dyDescent="0.3"/>
    <row r="377" ht="20.05" customHeight="1" x14ac:dyDescent="0.3"/>
    <row r="378" ht="20.05" customHeight="1" x14ac:dyDescent="0.3"/>
    <row r="379" ht="20.05" customHeight="1" x14ac:dyDescent="0.3"/>
    <row r="380" ht="20.05" customHeight="1" x14ac:dyDescent="0.3"/>
    <row r="381" ht="20.05" customHeight="1" x14ac:dyDescent="0.3"/>
    <row r="382" ht="20.05" customHeight="1" x14ac:dyDescent="0.3"/>
    <row r="383" ht="20.05" customHeight="1" x14ac:dyDescent="0.3"/>
    <row r="384" ht="20.05" customHeight="1" x14ac:dyDescent="0.3"/>
    <row r="385" ht="20.05" customHeight="1" x14ac:dyDescent="0.3"/>
    <row r="386" ht="20.05" customHeight="1" x14ac:dyDescent="0.3"/>
    <row r="387" ht="20.05" customHeight="1" x14ac:dyDescent="0.3"/>
    <row r="388" ht="20.05" customHeight="1" x14ac:dyDescent="0.3"/>
    <row r="389" ht="20.05" customHeight="1" x14ac:dyDescent="0.3"/>
    <row r="390" ht="20.05" customHeight="1" x14ac:dyDescent="0.3"/>
    <row r="391" ht="20.05" customHeight="1" x14ac:dyDescent="0.3"/>
    <row r="392" ht="20.05" customHeight="1" x14ac:dyDescent="0.3"/>
    <row r="393" ht="20.05" customHeight="1" x14ac:dyDescent="0.3"/>
    <row r="394" ht="20.05" customHeight="1" x14ac:dyDescent="0.3"/>
    <row r="395" ht="20.05" customHeight="1" x14ac:dyDescent="0.3"/>
    <row r="396" ht="20.05" customHeight="1" x14ac:dyDescent="0.3"/>
    <row r="397" ht="20.05" customHeight="1" x14ac:dyDescent="0.3"/>
    <row r="398" ht="20.05" customHeight="1" x14ac:dyDescent="0.3"/>
    <row r="399" ht="20.05" customHeight="1" x14ac:dyDescent="0.3"/>
    <row r="400" ht="20.05" customHeight="1" x14ac:dyDescent="0.3"/>
    <row r="401" ht="20.05" customHeight="1" x14ac:dyDescent="0.3"/>
    <row r="402" ht="20.05" customHeight="1" x14ac:dyDescent="0.3"/>
    <row r="403" ht="20.05" customHeight="1" x14ac:dyDescent="0.3"/>
    <row r="404" ht="20.05" customHeight="1" x14ac:dyDescent="0.3"/>
    <row r="405" ht="20.05" customHeight="1" x14ac:dyDescent="0.3"/>
    <row r="406" ht="20.05" customHeight="1" x14ac:dyDescent="0.3"/>
    <row r="407" ht="20.05" customHeight="1" x14ac:dyDescent="0.3"/>
    <row r="408" ht="20.05" customHeight="1" x14ac:dyDescent="0.3"/>
    <row r="409" ht="20.05" customHeight="1" x14ac:dyDescent="0.3"/>
    <row r="410" ht="20.05" customHeight="1" x14ac:dyDescent="0.3"/>
    <row r="411" ht="20.05" customHeight="1" x14ac:dyDescent="0.3"/>
    <row r="412" ht="20.05" customHeight="1" x14ac:dyDescent="0.3"/>
    <row r="413" ht="20.05" customHeight="1" x14ac:dyDescent="0.3"/>
    <row r="414" ht="20.05" customHeight="1" x14ac:dyDescent="0.3"/>
    <row r="415" ht="20.05" customHeight="1" x14ac:dyDescent="0.3"/>
    <row r="416" ht="20.05" customHeight="1" x14ac:dyDescent="0.3"/>
    <row r="417" ht="20.05" customHeight="1" x14ac:dyDescent="0.3"/>
    <row r="418" ht="20.05" customHeight="1" x14ac:dyDescent="0.3"/>
    <row r="419" ht="20.05" customHeight="1" x14ac:dyDescent="0.3"/>
    <row r="420" ht="20.05" customHeight="1" x14ac:dyDescent="0.3"/>
    <row r="421" ht="20.05" customHeight="1" x14ac:dyDescent="0.3"/>
    <row r="422" ht="20.05" customHeight="1" x14ac:dyDescent="0.3"/>
    <row r="423" ht="20.05" customHeight="1" x14ac:dyDescent="0.3"/>
    <row r="424" ht="20.05" customHeight="1" x14ac:dyDescent="0.3"/>
    <row r="425" ht="20.05" customHeight="1" x14ac:dyDescent="0.3"/>
    <row r="426" ht="20.05" customHeight="1" x14ac:dyDescent="0.3"/>
    <row r="427" ht="20.05" customHeight="1" x14ac:dyDescent="0.3"/>
    <row r="428" ht="20.05" customHeight="1" x14ac:dyDescent="0.3"/>
    <row r="429" ht="20.05" customHeight="1" x14ac:dyDescent="0.3"/>
    <row r="430" ht="20.05" customHeight="1" x14ac:dyDescent="0.3"/>
    <row r="431" ht="20.05" customHeight="1" x14ac:dyDescent="0.3"/>
    <row r="432" ht="20.05" customHeight="1" x14ac:dyDescent="0.3"/>
    <row r="433" ht="20.05" customHeight="1" x14ac:dyDescent="0.3"/>
    <row r="434" ht="20.05" customHeight="1" x14ac:dyDescent="0.3"/>
    <row r="435" ht="20.05" customHeight="1" x14ac:dyDescent="0.3"/>
    <row r="436" ht="20.05" customHeight="1" x14ac:dyDescent="0.3"/>
    <row r="437" ht="20.05" customHeight="1" x14ac:dyDescent="0.3"/>
    <row r="438" ht="20.05" customHeight="1" x14ac:dyDescent="0.3"/>
    <row r="439" ht="20.05" customHeight="1" x14ac:dyDescent="0.3"/>
    <row r="440" ht="20.05" customHeight="1" x14ac:dyDescent="0.3"/>
    <row r="441" ht="20.05" customHeight="1" x14ac:dyDescent="0.3"/>
    <row r="442" ht="20.05" customHeight="1" x14ac:dyDescent="0.3"/>
    <row r="443" ht="20.05" customHeight="1" x14ac:dyDescent="0.3"/>
    <row r="444" ht="20.05" customHeight="1" x14ac:dyDescent="0.3"/>
    <row r="445" ht="20.05" customHeight="1" x14ac:dyDescent="0.3"/>
    <row r="446" ht="20.05" customHeight="1" x14ac:dyDescent="0.3"/>
    <row r="447" ht="20.05" customHeight="1" x14ac:dyDescent="0.3"/>
    <row r="448" ht="20.05" customHeight="1" x14ac:dyDescent="0.3"/>
    <row r="449" ht="20.05" customHeight="1" x14ac:dyDescent="0.3"/>
    <row r="450" ht="20.05" customHeight="1" x14ac:dyDescent="0.3"/>
    <row r="451" ht="20.05" customHeight="1" x14ac:dyDescent="0.3"/>
    <row r="452" ht="20.05" customHeight="1" x14ac:dyDescent="0.3"/>
    <row r="453" ht="20.05" customHeight="1" x14ac:dyDescent="0.3"/>
    <row r="454" ht="20.05" customHeight="1" x14ac:dyDescent="0.3"/>
    <row r="455" ht="20.05" customHeight="1" x14ac:dyDescent="0.3"/>
    <row r="456" ht="20.05" customHeight="1" x14ac:dyDescent="0.3"/>
    <row r="457" ht="20.05" customHeight="1" x14ac:dyDescent="0.3"/>
    <row r="458" ht="20.05" customHeight="1" x14ac:dyDescent="0.3"/>
    <row r="459" ht="20.05" customHeight="1" x14ac:dyDescent="0.3"/>
    <row r="460" ht="20.05" customHeight="1" x14ac:dyDescent="0.3"/>
    <row r="461" ht="20.05" customHeight="1" x14ac:dyDescent="0.3"/>
    <row r="462" ht="20.05" customHeight="1" x14ac:dyDescent="0.3"/>
    <row r="463" ht="20.05" customHeight="1" x14ac:dyDescent="0.3"/>
    <row r="464" ht="20.05" customHeight="1" x14ac:dyDescent="0.3"/>
    <row r="465" ht="20.05" customHeight="1" x14ac:dyDescent="0.3"/>
    <row r="466" ht="20.05" customHeight="1" x14ac:dyDescent="0.3"/>
    <row r="467" ht="20.05" customHeight="1" x14ac:dyDescent="0.3"/>
    <row r="468" ht="20.05" customHeight="1" x14ac:dyDescent="0.3"/>
    <row r="469" ht="20.05" customHeight="1" x14ac:dyDescent="0.3"/>
    <row r="470" ht="20.05" customHeight="1" x14ac:dyDescent="0.3"/>
    <row r="471" ht="20.05" customHeight="1" x14ac:dyDescent="0.3"/>
    <row r="472" ht="20.05" customHeight="1" x14ac:dyDescent="0.3"/>
    <row r="473" ht="20.05" customHeight="1" x14ac:dyDescent="0.3"/>
    <row r="474" ht="20.05" customHeight="1" x14ac:dyDescent="0.3"/>
    <row r="475" ht="20.05" customHeight="1" x14ac:dyDescent="0.3"/>
    <row r="476" ht="20.05" customHeight="1" x14ac:dyDescent="0.3"/>
    <row r="477" ht="20.05" customHeight="1" x14ac:dyDescent="0.3"/>
    <row r="478" ht="20.05" customHeight="1" x14ac:dyDescent="0.3"/>
    <row r="479" ht="20.05" customHeight="1" x14ac:dyDescent="0.3"/>
    <row r="480" ht="20.05" customHeight="1" x14ac:dyDescent="0.3"/>
    <row r="481" ht="20.05" customHeight="1" x14ac:dyDescent="0.3"/>
    <row r="482" ht="20.05" customHeight="1" x14ac:dyDescent="0.3"/>
    <row r="483" ht="20.05" customHeight="1" x14ac:dyDescent="0.3"/>
    <row r="484" ht="20.05" customHeight="1" x14ac:dyDescent="0.3"/>
    <row r="485" ht="20.05" customHeight="1" x14ac:dyDescent="0.3"/>
    <row r="486" ht="20.05" customHeight="1" x14ac:dyDescent="0.3"/>
    <row r="487" ht="20.05" customHeight="1" x14ac:dyDescent="0.3"/>
    <row r="488" ht="20.05" customHeight="1" x14ac:dyDescent="0.3"/>
    <row r="489" ht="20.05" customHeight="1" x14ac:dyDescent="0.3"/>
    <row r="490" ht="20.05" customHeight="1" x14ac:dyDescent="0.3"/>
    <row r="491" ht="20.05" customHeight="1" x14ac:dyDescent="0.3"/>
    <row r="492" ht="20.05" customHeight="1" x14ac:dyDescent="0.3"/>
    <row r="493" ht="20.05" customHeight="1" x14ac:dyDescent="0.3"/>
    <row r="494" ht="20.05" customHeight="1" x14ac:dyDescent="0.3"/>
    <row r="495" ht="20.05" customHeight="1" x14ac:dyDescent="0.3"/>
    <row r="496" ht="20.05" customHeight="1" x14ac:dyDescent="0.3"/>
    <row r="497" ht="20.05" customHeight="1" x14ac:dyDescent="0.3"/>
    <row r="498" ht="20.05" customHeight="1" x14ac:dyDescent="0.3"/>
    <row r="499" ht="20.05" customHeight="1" x14ac:dyDescent="0.3"/>
    <row r="500" ht="20.05" customHeight="1" x14ac:dyDescent="0.3"/>
    <row r="501" ht="20.05" customHeight="1" x14ac:dyDescent="0.3"/>
    <row r="502" ht="20.05" customHeight="1" x14ac:dyDescent="0.3"/>
    <row r="503" ht="20.05" customHeight="1" x14ac:dyDescent="0.3"/>
    <row r="504" ht="20.05" customHeight="1" x14ac:dyDescent="0.3"/>
    <row r="505" ht="20.05" customHeight="1" x14ac:dyDescent="0.3"/>
    <row r="506" ht="20.05" customHeight="1" x14ac:dyDescent="0.3"/>
    <row r="507" ht="20.05" customHeight="1" x14ac:dyDescent="0.3"/>
    <row r="508" ht="20.05" customHeight="1" x14ac:dyDescent="0.3"/>
    <row r="509" ht="20.05" customHeight="1" x14ac:dyDescent="0.3"/>
    <row r="510" ht="20.05" customHeight="1" x14ac:dyDescent="0.3"/>
    <row r="511" ht="20.05" customHeight="1" x14ac:dyDescent="0.3"/>
    <row r="512" ht="20.05" customHeight="1" x14ac:dyDescent="0.3"/>
    <row r="513" ht="20.05" customHeight="1" x14ac:dyDescent="0.3"/>
    <row r="514" ht="20.05" customHeight="1" x14ac:dyDescent="0.3"/>
    <row r="515" ht="20.05" customHeight="1" x14ac:dyDescent="0.3"/>
    <row r="516" ht="20.05" customHeight="1" x14ac:dyDescent="0.3"/>
    <row r="517" ht="20.05" customHeight="1" x14ac:dyDescent="0.3"/>
    <row r="518" ht="20.05" customHeight="1" x14ac:dyDescent="0.3"/>
    <row r="519" ht="20.05" customHeight="1" x14ac:dyDescent="0.3"/>
    <row r="520" ht="20.05" customHeight="1" x14ac:dyDescent="0.3"/>
    <row r="521" ht="20.05" customHeight="1" x14ac:dyDescent="0.3"/>
    <row r="522" ht="20.05" customHeight="1" x14ac:dyDescent="0.3"/>
    <row r="523" ht="20.05" customHeight="1" x14ac:dyDescent="0.3"/>
    <row r="524" ht="20.05" customHeight="1" x14ac:dyDescent="0.3"/>
    <row r="525" ht="20.05" customHeight="1" x14ac:dyDescent="0.3"/>
    <row r="526" ht="20.05" customHeight="1" x14ac:dyDescent="0.3"/>
    <row r="527" ht="20.05" customHeight="1" x14ac:dyDescent="0.3"/>
    <row r="528" ht="20.05" customHeight="1" x14ac:dyDescent="0.3"/>
    <row r="529" ht="20.05" customHeight="1" x14ac:dyDescent="0.3"/>
    <row r="530" ht="20.05" customHeight="1" x14ac:dyDescent="0.3"/>
    <row r="531" ht="20.05" customHeight="1" x14ac:dyDescent="0.3"/>
    <row r="532" ht="20.05" customHeight="1" x14ac:dyDescent="0.3"/>
    <row r="533" ht="20.05" customHeight="1" x14ac:dyDescent="0.3"/>
    <row r="534" ht="20.05" customHeight="1" x14ac:dyDescent="0.3"/>
    <row r="535" ht="20.05" customHeight="1" x14ac:dyDescent="0.3"/>
    <row r="536" ht="20.05" customHeight="1" x14ac:dyDescent="0.3"/>
    <row r="537" ht="20.05" customHeight="1" x14ac:dyDescent="0.3"/>
    <row r="538" ht="20.05" customHeight="1" x14ac:dyDescent="0.3"/>
    <row r="539" ht="20.05" customHeight="1" x14ac:dyDescent="0.3"/>
    <row r="540" ht="20.05" customHeight="1" x14ac:dyDescent="0.3"/>
    <row r="541" ht="20.05" customHeight="1" x14ac:dyDescent="0.3"/>
    <row r="542" ht="20.05" customHeight="1" x14ac:dyDescent="0.3"/>
    <row r="543" ht="20.05" customHeight="1" x14ac:dyDescent="0.3"/>
    <row r="544" ht="20.05" customHeight="1" x14ac:dyDescent="0.3"/>
    <row r="545" ht="20.05" customHeight="1" x14ac:dyDescent="0.3"/>
    <row r="546" ht="20.05" customHeight="1" x14ac:dyDescent="0.3"/>
    <row r="547" ht="20.05" customHeight="1" x14ac:dyDescent="0.3"/>
    <row r="548" ht="20.05" customHeight="1" x14ac:dyDescent="0.3"/>
    <row r="549" ht="20.05" customHeight="1" x14ac:dyDescent="0.3"/>
    <row r="550" ht="20.05" customHeight="1" x14ac:dyDescent="0.3"/>
    <row r="551" ht="20.05" customHeight="1" x14ac:dyDescent="0.3"/>
    <row r="552" ht="20.05" customHeight="1" x14ac:dyDescent="0.3"/>
    <row r="553" ht="20.05" customHeight="1" x14ac:dyDescent="0.3"/>
    <row r="554" ht="20.05" customHeight="1" x14ac:dyDescent="0.3"/>
    <row r="555" ht="20.05" customHeight="1" x14ac:dyDescent="0.3"/>
    <row r="556" ht="20.05" customHeight="1" x14ac:dyDescent="0.3"/>
    <row r="557" ht="20.05" customHeight="1" x14ac:dyDescent="0.3"/>
    <row r="558" ht="20.05" customHeight="1" x14ac:dyDescent="0.3"/>
    <row r="559" ht="20.05" customHeight="1" x14ac:dyDescent="0.3"/>
    <row r="560" ht="20.05" customHeight="1" x14ac:dyDescent="0.3"/>
    <row r="561" ht="20.05" customHeight="1" x14ac:dyDescent="0.3"/>
    <row r="562" ht="20.05" customHeight="1" x14ac:dyDescent="0.3"/>
    <row r="563" ht="20.05" customHeight="1" x14ac:dyDescent="0.3"/>
    <row r="564" ht="20.05" customHeight="1" x14ac:dyDescent="0.3"/>
    <row r="565" ht="20.05" customHeight="1" x14ac:dyDescent="0.3"/>
    <row r="566" ht="20.05" customHeight="1" x14ac:dyDescent="0.3"/>
    <row r="567" ht="20.05" customHeight="1" x14ac:dyDescent="0.3"/>
    <row r="568" ht="20.05" customHeight="1" x14ac:dyDescent="0.3"/>
    <row r="569" ht="20.05" customHeight="1" x14ac:dyDescent="0.3"/>
    <row r="570" ht="20.05" customHeight="1" x14ac:dyDescent="0.3"/>
    <row r="571" ht="20.05" customHeight="1" x14ac:dyDescent="0.3"/>
    <row r="572" ht="20.05" customHeight="1" x14ac:dyDescent="0.3"/>
    <row r="573" ht="20.05" customHeight="1" x14ac:dyDescent="0.3"/>
    <row r="574" ht="20.05" customHeight="1" x14ac:dyDescent="0.3"/>
    <row r="575" ht="20.05" customHeight="1" x14ac:dyDescent="0.3"/>
    <row r="576" ht="20.05" customHeight="1" x14ac:dyDescent="0.3"/>
    <row r="577" ht="20.05" customHeight="1" x14ac:dyDescent="0.3"/>
    <row r="578" ht="20.05" customHeight="1" x14ac:dyDescent="0.3"/>
    <row r="579" ht="20.05" customHeight="1" x14ac:dyDescent="0.3"/>
    <row r="580" ht="20.05" customHeight="1" x14ac:dyDescent="0.3"/>
    <row r="581" ht="20.05" customHeight="1" x14ac:dyDescent="0.3"/>
    <row r="582" ht="20.05" customHeight="1" x14ac:dyDescent="0.3"/>
    <row r="583" ht="20.05" customHeight="1" x14ac:dyDescent="0.3"/>
    <row r="584" ht="20.05" customHeight="1" x14ac:dyDescent="0.3"/>
    <row r="585" ht="20.05" customHeight="1" x14ac:dyDescent="0.3"/>
    <row r="586" ht="20.05" customHeight="1" x14ac:dyDescent="0.3"/>
    <row r="587" ht="20.05" customHeight="1" x14ac:dyDescent="0.3"/>
    <row r="588" ht="20.05" customHeight="1" x14ac:dyDescent="0.3"/>
    <row r="589" ht="20.05" customHeight="1" x14ac:dyDescent="0.3"/>
    <row r="590" ht="20.05" customHeight="1" x14ac:dyDescent="0.3"/>
    <row r="591" ht="20.05" customHeight="1" x14ac:dyDescent="0.3"/>
    <row r="592" ht="20.05" customHeight="1" x14ac:dyDescent="0.3"/>
    <row r="593" ht="20.05" customHeight="1" x14ac:dyDescent="0.3"/>
    <row r="594" ht="20.05" customHeight="1" x14ac:dyDescent="0.3"/>
    <row r="595" ht="20.05" customHeight="1" x14ac:dyDescent="0.3"/>
    <row r="596" ht="20.05" customHeight="1" x14ac:dyDescent="0.3"/>
    <row r="597" ht="20.05" customHeight="1" x14ac:dyDescent="0.3"/>
    <row r="598" ht="20.05" customHeight="1" x14ac:dyDescent="0.3"/>
    <row r="599" ht="20.05" customHeight="1" x14ac:dyDescent="0.3"/>
    <row r="600" ht="20.05" customHeight="1" x14ac:dyDescent="0.3"/>
    <row r="601" ht="20.05" customHeight="1" x14ac:dyDescent="0.3"/>
    <row r="602" ht="20.05" customHeight="1" x14ac:dyDescent="0.3"/>
    <row r="603" ht="20.05" customHeight="1" x14ac:dyDescent="0.3"/>
    <row r="604" ht="20.05" customHeight="1" x14ac:dyDescent="0.3"/>
    <row r="605" ht="20.05" customHeight="1" x14ac:dyDescent="0.3"/>
    <row r="606" ht="20.05" customHeight="1" x14ac:dyDescent="0.3"/>
    <row r="607" ht="20.05" customHeight="1" x14ac:dyDescent="0.3"/>
    <row r="608" ht="20.05" customHeight="1" x14ac:dyDescent="0.3"/>
    <row r="609" ht="20.05" customHeight="1" x14ac:dyDescent="0.3"/>
    <row r="610" ht="20.05" customHeight="1" x14ac:dyDescent="0.3"/>
    <row r="611" ht="20.05" customHeight="1" x14ac:dyDescent="0.3"/>
    <row r="612" ht="20.05" customHeight="1" x14ac:dyDescent="0.3"/>
    <row r="613" ht="20.05" customHeight="1" x14ac:dyDescent="0.3"/>
    <row r="614" ht="20.05" customHeight="1" x14ac:dyDescent="0.3"/>
    <row r="615" ht="20.05" customHeight="1" x14ac:dyDescent="0.3"/>
    <row r="616" ht="20.05" customHeight="1" x14ac:dyDescent="0.3"/>
    <row r="617" ht="20.05" customHeight="1" x14ac:dyDescent="0.3"/>
    <row r="618" ht="20.05" customHeight="1" x14ac:dyDescent="0.3"/>
    <row r="619" ht="20.05" customHeight="1" x14ac:dyDescent="0.3"/>
    <row r="620" ht="20.05" customHeight="1" x14ac:dyDescent="0.3"/>
    <row r="621" ht="20.05" customHeight="1" x14ac:dyDescent="0.3"/>
    <row r="622" ht="20.05" customHeight="1" x14ac:dyDescent="0.3"/>
    <row r="623" ht="20.05" customHeight="1" x14ac:dyDescent="0.3"/>
    <row r="624" ht="20.05" customHeight="1" x14ac:dyDescent="0.3"/>
    <row r="625" ht="20.05" customHeight="1" x14ac:dyDescent="0.3"/>
    <row r="626" ht="20.05" customHeight="1" x14ac:dyDescent="0.3"/>
    <row r="627" ht="20.05" customHeight="1" x14ac:dyDescent="0.3"/>
    <row r="628" ht="20.05" customHeight="1" x14ac:dyDescent="0.3"/>
    <row r="629" ht="20.05" customHeight="1" x14ac:dyDescent="0.3"/>
    <row r="630" ht="20.05" customHeight="1" x14ac:dyDescent="0.3"/>
    <row r="631" ht="20.05" customHeight="1" x14ac:dyDescent="0.3"/>
    <row r="632" ht="20.05" customHeight="1" x14ac:dyDescent="0.3"/>
    <row r="633" ht="20.05" customHeight="1" x14ac:dyDescent="0.3"/>
    <row r="634" ht="20.05" customHeight="1" x14ac:dyDescent="0.3"/>
    <row r="635" ht="20.05" customHeight="1" x14ac:dyDescent="0.3"/>
    <row r="636" ht="20.05" customHeight="1" x14ac:dyDescent="0.3"/>
    <row r="637" ht="20.05" customHeight="1" x14ac:dyDescent="0.3"/>
    <row r="638" ht="20.05" customHeight="1" x14ac:dyDescent="0.3"/>
    <row r="639" ht="20.05" customHeight="1" x14ac:dyDescent="0.3"/>
    <row r="640" ht="20.05" customHeight="1" x14ac:dyDescent="0.3"/>
    <row r="641" ht="20.05" customHeight="1" x14ac:dyDescent="0.3"/>
    <row r="642" ht="20.05" customHeight="1" x14ac:dyDescent="0.3"/>
    <row r="643" ht="20.05" customHeight="1" x14ac:dyDescent="0.3"/>
    <row r="644" ht="20.05" customHeight="1" x14ac:dyDescent="0.3"/>
    <row r="645" ht="20.05" customHeight="1" x14ac:dyDescent="0.3"/>
    <row r="646" ht="20.05" customHeight="1" x14ac:dyDescent="0.3"/>
    <row r="647" ht="20.05" customHeight="1" x14ac:dyDescent="0.3"/>
    <row r="648" ht="20.05" customHeight="1" x14ac:dyDescent="0.3"/>
    <row r="649" ht="20.05" customHeight="1" x14ac:dyDescent="0.3"/>
    <row r="650" ht="20.05" customHeight="1" x14ac:dyDescent="0.3"/>
    <row r="651" ht="20.05" customHeight="1" x14ac:dyDescent="0.3"/>
    <row r="652" ht="20.05" customHeight="1" x14ac:dyDescent="0.3"/>
    <row r="653" ht="20.05" customHeight="1" x14ac:dyDescent="0.3"/>
    <row r="654" ht="20.05" customHeight="1" x14ac:dyDescent="0.3"/>
    <row r="655" ht="20.05" customHeight="1" x14ac:dyDescent="0.3"/>
    <row r="656" ht="20.05" customHeight="1" x14ac:dyDescent="0.3"/>
    <row r="657" ht="20.05" customHeight="1" x14ac:dyDescent="0.3"/>
    <row r="658" ht="20.05" customHeight="1" x14ac:dyDescent="0.3"/>
    <row r="659" ht="20.05" customHeight="1" x14ac:dyDescent="0.3"/>
    <row r="660" ht="20.05" customHeight="1" x14ac:dyDescent="0.3"/>
    <row r="661" ht="20.05" customHeight="1" x14ac:dyDescent="0.3"/>
    <row r="662" ht="20.05" customHeight="1" x14ac:dyDescent="0.3"/>
    <row r="663" ht="20.05" customHeight="1" x14ac:dyDescent="0.3"/>
    <row r="664" ht="20.05" customHeight="1" x14ac:dyDescent="0.3"/>
    <row r="665" ht="20.05" customHeight="1" x14ac:dyDescent="0.3"/>
    <row r="666" ht="20.05" customHeight="1" x14ac:dyDescent="0.3"/>
    <row r="667" ht="20.05" customHeight="1" x14ac:dyDescent="0.3"/>
    <row r="668" ht="20.05" customHeight="1" x14ac:dyDescent="0.3"/>
    <row r="669" ht="20.05" customHeight="1" x14ac:dyDescent="0.3"/>
    <row r="670" ht="20.05" customHeight="1" x14ac:dyDescent="0.3"/>
    <row r="671" ht="20.05" customHeight="1" x14ac:dyDescent="0.3"/>
    <row r="672" ht="20.05" customHeight="1" x14ac:dyDescent="0.3"/>
    <row r="673" ht="20.05" customHeight="1" x14ac:dyDescent="0.3"/>
    <row r="674" ht="20.05" customHeight="1" x14ac:dyDescent="0.3"/>
    <row r="675" ht="20.05" customHeight="1" x14ac:dyDescent="0.3"/>
    <row r="676" ht="20.05" customHeight="1" x14ac:dyDescent="0.3"/>
    <row r="677" ht="20.05" customHeight="1" x14ac:dyDescent="0.3"/>
    <row r="678" ht="20.05" customHeight="1" x14ac:dyDescent="0.3"/>
    <row r="679" ht="20.05" customHeight="1" x14ac:dyDescent="0.3"/>
    <row r="680" ht="20.05" customHeight="1" x14ac:dyDescent="0.3"/>
    <row r="681" ht="20.05" customHeight="1" x14ac:dyDescent="0.3"/>
    <row r="682" ht="20.05" customHeight="1" x14ac:dyDescent="0.3"/>
    <row r="683" ht="20.05" customHeight="1" x14ac:dyDescent="0.3"/>
    <row r="684" ht="20.05" customHeight="1" x14ac:dyDescent="0.3"/>
    <row r="685" ht="20.05" customHeight="1" x14ac:dyDescent="0.3"/>
    <row r="686" ht="20.05" customHeight="1" x14ac:dyDescent="0.3"/>
    <row r="687" ht="20.05" customHeight="1" x14ac:dyDescent="0.3"/>
    <row r="688" ht="20.05" customHeight="1" x14ac:dyDescent="0.3"/>
    <row r="689" ht="20.05" customHeight="1" x14ac:dyDescent="0.3"/>
    <row r="690" ht="20.05" customHeight="1" x14ac:dyDescent="0.3"/>
    <row r="691" ht="20.05" customHeight="1" x14ac:dyDescent="0.3"/>
    <row r="692" ht="20.05" customHeight="1" x14ac:dyDescent="0.3"/>
    <row r="693" ht="20.05" customHeight="1" x14ac:dyDescent="0.3"/>
    <row r="694" ht="20.05" customHeight="1" x14ac:dyDescent="0.3"/>
    <row r="695" ht="20.05" customHeight="1" x14ac:dyDescent="0.3"/>
    <row r="696" ht="20.05" customHeight="1" x14ac:dyDescent="0.3"/>
    <row r="697" ht="20.05" customHeight="1" x14ac:dyDescent="0.3"/>
    <row r="698" ht="20.05" customHeight="1" x14ac:dyDescent="0.3"/>
    <row r="699" ht="20.05" customHeight="1" x14ac:dyDescent="0.3"/>
    <row r="700" ht="20.05" customHeight="1" x14ac:dyDescent="0.3"/>
    <row r="701" ht="20.05" customHeight="1" x14ac:dyDescent="0.3"/>
    <row r="702" ht="20.05" customHeight="1" x14ac:dyDescent="0.3"/>
    <row r="703" ht="20.05" customHeight="1" x14ac:dyDescent="0.3"/>
    <row r="704" ht="20.05" customHeight="1" x14ac:dyDescent="0.3"/>
    <row r="705" ht="20.05" customHeight="1" x14ac:dyDescent="0.3"/>
    <row r="706" ht="20.05" customHeight="1" x14ac:dyDescent="0.3"/>
    <row r="707" ht="20.05" customHeight="1" x14ac:dyDescent="0.3"/>
    <row r="708" ht="20.05" customHeight="1" x14ac:dyDescent="0.3"/>
    <row r="709" ht="20.05" customHeight="1" x14ac:dyDescent="0.3"/>
    <row r="710" ht="20.05" customHeight="1" x14ac:dyDescent="0.3"/>
    <row r="711" ht="20.05" customHeight="1" x14ac:dyDescent="0.3"/>
    <row r="712" ht="20.05" customHeight="1" x14ac:dyDescent="0.3"/>
    <row r="713" ht="20.05" customHeight="1" x14ac:dyDescent="0.3"/>
    <row r="714" ht="20.05" customHeight="1" x14ac:dyDescent="0.3"/>
    <row r="715" ht="20.05" customHeight="1" x14ac:dyDescent="0.3"/>
    <row r="716" ht="20.05" customHeight="1" x14ac:dyDescent="0.3"/>
    <row r="717" ht="20.05" customHeight="1" x14ac:dyDescent="0.3"/>
    <row r="718" ht="20.05" customHeight="1" x14ac:dyDescent="0.3"/>
    <row r="719" ht="20.05" customHeight="1" x14ac:dyDescent="0.3"/>
    <row r="720" ht="20.05" customHeight="1" x14ac:dyDescent="0.3"/>
    <row r="721" ht="20.05" customHeight="1" x14ac:dyDescent="0.3"/>
    <row r="722" ht="20.05" customHeight="1" x14ac:dyDescent="0.3"/>
    <row r="723" ht="20.05" customHeight="1" x14ac:dyDescent="0.3"/>
    <row r="724" ht="20.05" customHeight="1" x14ac:dyDescent="0.3"/>
    <row r="725" ht="20.05" customHeight="1" x14ac:dyDescent="0.3"/>
    <row r="726" ht="20.05" customHeight="1" x14ac:dyDescent="0.3"/>
    <row r="727" ht="20.05" customHeight="1" x14ac:dyDescent="0.3"/>
    <row r="728" ht="20.05" customHeight="1" x14ac:dyDescent="0.3"/>
    <row r="729" ht="20.05" customHeight="1" x14ac:dyDescent="0.3"/>
    <row r="730" ht="20.05" customHeight="1" x14ac:dyDescent="0.3"/>
    <row r="731" ht="20.05" customHeight="1" x14ac:dyDescent="0.3"/>
    <row r="732" ht="20.05" customHeight="1" x14ac:dyDescent="0.3"/>
    <row r="733" ht="20.05" customHeight="1" x14ac:dyDescent="0.3"/>
    <row r="734" ht="20.05" customHeight="1" x14ac:dyDescent="0.3"/>
    <row r="735" ht="20.05" customHeight="1" x14ac:dyDescent="0.3"/>
    <row r="736" ht="20.05" customHeight="1" x14ac:dyDescent="0.3"/>
    <row r="737" ht="20.05" customHeight="1" x14ac:dyDescent="0.3"/>
    <row r="738" ht="20.05" customHeight="1" x14ac:dyDescent="0.3"/>
    <row r="739" ht="20.05" customHeight="1" x14ac:dyDescent="0.3"/>
    <row r="740" ht="20.05" customHeight="1" x14ac:dyDescent="0.3"/>
    <row r="741" ht="20.05" customHeight="1" x14ac:dyDescent="0.3"/>
    <row r="742" ht="20.05" customHeight="1" x14ac:dyDescent="0.3"/>
    <row r="743" ht="20.05" customHeight="1" x14ac:dyDescent="0.3"/>
    <row r="744" ht="20.05" customHeight="1" x14ac:dyDescent="0.3"/>
    <row r="745" ht="20.05" customHeight="1" x14ac:dyDescent="0.3"/>
    <row r="746" ht="20.05" customHeight="1" x14ac:dyDescent="0.3"/>
    <row r="747" ht="20.05" customHeight="1" x14ac:dyDescent="0.3"/>
    <row r="748" ht="20.05" customHeight="1" x14ac:dyDescent="0.3"/>
    <row r="749" ht="20.05" customHeight="1" x14ac:dyDescent="0.3"/>
    <row r="750" ht="20.05" customHeight="1" x14ac:dyDescent="0.3"/>
    <row r="751" ht="20.05" customHeight="1" x14ac:dyDescent="0.3"/>
    <row r="752" ht="20.05" customHeight="1" x14ac:dyDescent="0.3"/>
    <row r="753" ht="20.05" customHeight="1" x14ac:dyDescent="0.3"/>
    <row r="754" ht="20.05" customHeight="1" x14ac:dyDescent="0.3"/>
    <row r="755" ht="20.05" customHeight="1" x14ac:dyDescent="0.3"/>
    <row r="756" ht="20.05" customHeight="1" x14ac:dyDescent="0.3"/>
    <row r="757" ht="20.05" customHeight="1" x14ac:dyDescent="0.3"/>
    <row r="758" ht="20.05" customHeight="1" x14ac:dyDescent="0.3"/>
    <row r="759" ht="20.05" customHeight="1" x14ac:dyDescent="0.3"/>
    <row r="760" ht="20.05" customHeight="1" x14ac:dyDescent="0.3"/>
    <row r="761" ht="20.05" customHeight="1" x14ac:dyDescent="0.3"/>
    <row r="762" ht="20.05" customHeight="1" x14ac:dyDescent="0.3"/>
    <row r="763" ht="20.05" customHeight="1" x14ac:dyDescent="0.3"/>
    <row r="764" ht="20.05" customHeight="1" x14ac:dyDescent="0.3"/>
    <row r="765" ht="20.05" customHeight="1" x14ac:dyDescent="0.3"/>
    <row r="766" ht="20.05" customHeight="1" x14ac:dyDescent="0.3"/>
    <row r="767" ht="20.05" customHeight="1" x14ac:dyDescent="0.3"/>
    <row r="768" ht="20.05" customHeight="1" x14ac:dyDescent="0.3"/>
    <row r="769" ht="20.05" customHeight="1" x14ac:dyDescent="0.3"/>
    <row r="770" ht="20.05" customHeight="1" x14ac:dyDescent="0.3"/>
    <row r="771" ht="20.05" customHeight="1" x14ac:dyDescent="0.3"/>
    <row r="772" ht="20.05" customHeight="1" x14ac:dyDescent="0.3"/>
    <row r="773" ht="20.05" customHeight="1" x14ac:dyDescent="0.3"/>
    <row r="774" ht="20.05" customHeight="1" x14ac:dyDescent="0.3"/>
    <row r="775" ht="20.05" customHeight="1" x14ac:dyDescent="0.3"/>
    <row r="776" ht="20.05" customHeight="1" x14ac:dyDescent="0.3"/>
    <row r="777" ht="20.05" customHeight="1" x14ac:dyDescent="0.3"/>
    <row r="778" ht="20.05" customHeight="1" x14ac:dyDescent="0.3"/>
    <row r="779" ht="20.05" customHeight="1" x14ac:dyDescent="0.3"/>
    <row r="780" ht="20.05" customHeight="1" x14ac:dyDescent="0.3"/>
    <row r="781" ht="20.05" customHeight="1" x14ac:dyDescent="0.3"/>
    <row r="782" ht="20.05" customHeight="1" x14ac:dyDescent="0.3"/>
    <row r="783" ht="20.05" customHeight="1" x14ac:dyDescent="0.3"/>
    <row r="784" ht="20.05" customHeight="1" x14ac:dyDescent="0.3"/>
    <row r="785" ht="20.05" customHeight="1" x14ac:dyDescent="0.3"/>
    <row r="786" ht="20.05" customHeight="1" x14ac:dyDescent="0.3"/>
    <row r="787" ht="20.05" customHeight="1" x14ac:dyDescent="0.3"/>
    <row r="788" ht="20.05" customHeight="1" x14ac:dyDescent="0.3"/>
    <row r="789" ht="20.05" customHeight="1" x14ac:dyDescent="0.3"/>
    <row r="790" ht="20.05" customHeight="1" x14ac:dyDescent="0.3"/>
    <row r="791" ht="20.05" customHeight="1" x14ac:dyDescent="0.3"/>
    <row r="792" ht="20.05" customHeight="1" x14ac:dyDescent="0.3"/>
    <row r="793" ht="20.05" customHeight="1" x14ac:dyDescent="0.3"/>
    <row r="794" ht="20.05" customHeight="1" x14ac:dyDescent="0.3"/>
    <row r="795" ht="20.05" customHeight="1" x14ac:dyDescent="0.3"/>
    <row r="796" ht="20.05" customHeight="1" x14ac:dyDescent="0.3"/>
    <row r="797" ht="20.05" customHeight="1" x14ac:dyDescent="0.3"/>
    <row r="798" ht="20.05" customHeight="1" x14ac:dyDescent="0.3"/>
    <row r="799" ht="20.05" customHeight="1" x14ac:dyDescent="0.3"/>
    <row r="800" ht="20.05" customHeight="1" x14ac:dyDescent="0.3"/>
    <row r="801" ht="20.05" customHeight="1" x14ac:dyDescent="0.3"/>
    <row r="802" ht="20.05" customHeight="1" x14ac:dyDescent="0.3"/>
    <row r="803" ht="20.05" customHeight="1" x14ac:dyDescent="0.3"/>
    <row r="804" ht="20.05" customHeight="1" x14ac:dyDescent="0.3"/>
    <row r="805" ht="20.05" customHeight="1" x14ac:dyDescent="0.3"/>
    <row r="806" ht="20.05" customHeight="1" x14ac:dyDescent="0.3"/>
    <row r="807" ht="20.05" customHeight="1" x14ac:dyDescent="0.3"/>
    <row r="808" ht="20.05" customHeight="1" x14ac:dyDescent="0.3"/>
    <row r="809" ht="20.05" customHeight="1" x14ac:dyDescent="0.3"/>
    <row r="810" ht="20.05" customHeight="1" x14ac:dyDescent="0.3"/>
    <row r="811" ht="20.05" customHeight="1" x14ac:dyDescent="0.3"/>
    <row r="812" ht="20.05" customHeight="1" x14ac:dyDescent="0.3"/>
    <row r="813" ht="20.05" customHeight="1" x14ac:dyDescent="0.3"/>
    <row r="814" ht="20.05" customHeight="1" x14ac:dyDescent="0.3"/>
    <row r="815" ht="20.05" customHeight="1" x14ac:dyDescent="0.3"/>
    <row r="816" ht="20.05" customHeight="1" x14ac:dyDescent="0.3"/>
    <row r="817" ht="20.05" customHeight="1" x14ac:dyDescent="0.3"/>
    <row r="818" ht="20.05" customHeight="1" x14ac:dyDescent="0.3"/>
    <row r="819" ht="20.05" customHeight="1" x14ac:dyDescent="0.3"/>
    <row r="820" ht="20.05" customHeight="1" x14ac:dyDescent="0.3"/>
    <row r="821" ht="20.05" customHeight="1" x14ac:dyDescent="0.3"/>
    <row r="822" ht="20.05" customHeight="1" x14ac:dyDescent="0.3"/>
    <row r="823" ht="20.05" customHeight="1" x14ac:dyDescent="0.3"/>
    <row r="824" ht="20.05" customHeight="1" x14ac:dyDescent="0.3"/>
    <row r="825" ht="20.05" customHeight="1" x14ac:dyDescent="0.3"/>
    <row r="826" ht="20.05" customHeight="1" x14ac:dyDescent="0.3"/>
    <row r="827" ht="20.05" customHeight="1" x14ac:dyDescent="0.3"/>
    <row r="828" ht="20.05" customHeight="1" x14ac:dyDescent="0.3"/>
    <row r="829" ht="20.05" customHeight="1" x14ac:dyDescent="0.3"/>
    <row r="830" ht="20.05" customHeight="1" x14ac:dyDescent="0.3"/>
    <row r="831" ht="20.05" customHeight="1" x14ac:dyDescent="0.3"/>
    <row r="832" ht="20.05" customHeight="1" x14ac:dyDescent="0.3"/>
    <row r="833" ht="20.05" customHeight="1" x14ac:dyDescent="0.3"/>
    <row r="834" ht="20.05" customHeight="1" x14ac:dyDescent="0.3"/>
    <row r="835" ht="20.05" customHeight="1" x14ac:dyDescent="0.3"/>
    <row r="836" ht="20.05" customHeight="1" x14ac:dyDescent="0.3"/>
    <row r="837" ht="20.05" customHeight="1" x14ac:dyDescent="0.3"/>
    <row r="838" ht="20.05" customHeight="1" x14ac:dyDescent="0.3"/>
    <row r="839" ht="20.05" customHeight="1" x14ac:dyDescent="0.3"/>
    <row r="840" ht="20.05" customHeight="1" x14ac:dyDescent="0.3"/>
    <row r="841" ht="20.05" customHeight="1" x14ac:dyDescent="0.3"/>
    <row r="842" ht="20.05" customHeight="1" x14ac:dyDescent="0.3"/>
    <row r="843" ht="20.05" customHeight="1" x14ac:dyDescent="0.3"/>
    <row r="844" ht="20.05" customHeight="1" x14ac:dyDescent="0.3"/>
    <row r="845" ht="20.05" customHeight="1" x14ac:dyDescent="0.3"/>
    <row r="846" ht="20.05" customHeight="1" x14ac:dyDescent="0.3"/>
    <row r="847" ht="20.05" customHeight="1" x14ac:dyDescent="0.3"/>
    <row r="848" ht="20.05" customHeight="1" x14ac:dyDescent="0.3"/>
    <row r="849" ht="20.05" customHeight="1" x14ac:dyDescent="0.3"/>
    <row r="850" ht="20.05" customHeight="1" x14ac:dyDescent="0.3"/>
    <row r="851" ht="20.05" customHeight="1" x14ac:dyDescent="0.3"/>
    <row r="852" ht="20.05" customHeight="1" x14ac:dyDescent="0.3"/>
    <row r="853" ht="20.05" customHeight="1" x14ac:dyDescent="0.3"/>
    <row r="854" ht="20.05" customHeight="1" x14ac:dyDescent="0.3"/>
    <row r="855" ht="20.05" customHeight="1" x14ac:dyDescent="0.3"/>
    <row r="856" ht="20.05" customHeight="1" x14ac:dyDescent="0.3"/>
    <row r="857" ht="20.05" customHeight="1" x14ac:dyDescent="0.3"/>
    <row r="858" ht="20.05" customHeight="1" x14ac:dyDescent="0.3"/>
    <row r="859" ht="20.05" customHeight="1" x14ac:dyDescent="0.3"/>
    <row r="860" ht="20.05" customHeight="1" x14ac:dyDescent="0.3"/>
    <row r="861" ht="20.05" customHeight="1" x14ac:dyDescent="0.3"/>
    <row r="862" ht="20.05" customHeight="1" x14ac:dyDescent="0.3"/>
    <row r="863" ht="20.05" customHeight="1" x14ac:dyDescent="0.3"/>
    <row r="864" ht="20.05" customHeight="1" x14ac:dyDescent="0.3"/>
    <row r="865" ht="20.05" customHeight="1" x14ac:dyDescent="0.3"/>
    <row r="866" ht="20.05" customHeight="1" x14ac:dyDescent="0.3"/>
    <row r="867" ht="20.05" customHeight="1" x14ac:dyDescent="0.3"/>
    <row r="868" ht="20.05" customHeight="1" x14ac:dyDescent="0.3"/>
    <row r="869" ht="20.05" customHeight="1" x14ac:dyDescent="0.3"/>
    <row r="870" ht="20.05" customHeight="1" x14ac:dyDescent="0.3"/>
    <row r="871" ht="20.05" customHeight="1" x14ac:dyDescent="0.3"/>
    <row r="872" ht="20.05" customHeight="1" x14ac:dyDescent="0.3"/>
    <row r="873" ht="20.05" customHeight="1" x14ac:dyDescent="0.3"/>
    <row r="874" ht="20.05" customHeight="1" x14ac:dyDescent="0.3"/>
    <row r="875" ht="20.05" customHeight="1" x14ac:dyDescent="0.3"/>
    <row r="876" ht="20.05" customHeight="1" x14ac:dyDescent="0.3"/>
    <row r="877" ht="20.05" customHeight="1" x14ac:dyDescent="0.3"/>
    <row r="878" ht="20.05" customHeight="1" x14ac:dyDescent="0.3"/>
    <row r="879" ht="20.05" customHeight="1" x14ac:dyDescent="0.3"/>
    <row r="880" ht="20.05" customHeight="1" x14ac:dyDescent="0.3"/>
    <row r="881" ht="20.05" customHeight="1" x14ac:dyDescent="0.3"/>
    <row r="882" ht="20.05" customHeight="1" x14ac:dyDescent="0.3"/>
    <row r="883" ht="20.05" customHeight="1" x14ac:dyDescent="0.3"/>
    <row r="884" ht="20.05" customHeight="1" x14ac:dyDescent="0.3"/>
    <row r="885" ht="20.05" customHeight="1" x14ac:dyDescent="0.3"/>
    <row r="886" ht="20.05" customHeight="1" x14ac:dyDescent="0.3"/>
    <row r="887" ht="20.05" customHeight="1" x14ac:dyDescent="0.3"/>
    <row r="888" ht="20.05" customHeight="1" x14ac:dyDescent="0.3"/>
    <row r="889" ht="20.05" customHeight="1" x14ac:dyDescent="0.3"/>
    <row r="890" ht="20.05" customHeight="1" x14ac:dyDescent="0.3"/>
    <row r="891" ht="20.05" customHeight="1" x14ac:dyDescent="0.3"/>
    <row r="892" ht="20.05" customHeight="1" x14ac:dyDescent="0.3"/>
    <row r="893" ht="20.05" customHeight="1" x14ac:dyDescent="0.3"/>
    <row r="894" ht="20.05" customHeight="1" x14ac:dyDescent="0.3"/>
    <row r="895" ht="20.05" customHeight="1" x14ac:dyDescent="0.3"/>
    <row r="896" ht="20.05" customHeight="1" x14ac:dyDescent="0.3"/>
    <row r="897" ht="20.05" customHeight="1" x14ac:dyDescent="0.3"/>
    <row r="898" ht="20.05" customHeight="1" x14ac:dyDescent="0.3"/>
    <row r="899" ht="20.05" customHeight="1" x14ac:dyDescent="0.3"/>
    <row r="900" ht="20.05" customHeight="1" x14ac:dyDescent="0.3"/>
    <row r="901" ht="20.05" customHeight="1" x14ac:dyDescent="0.3"/>
    <row r="902" ht="20.05" customHeight="1" x14ac:dyDescent="0.3"/>
    <row r="903" ht="20.05" customHeight="1" x14ac:dyDescent="0.3"/>
    <row r="904" ht="20.05" customHeight="1" x14ac:dyDescent="0.3"/>
    <row r="905" ht="20.05" customHeight="1" x14ac:dyDescent="0.3"/>
    <row r="906" ht="20.05" customHeight="1" x14ac:dyDescent="0.3"/>
    <row r="907" ht="20.05" customHeight="1" x14ac:dyDescent="0.3"/>
    <row r="908" ht="20.05" customHeight="1" x14ac:dyDescent="0.3"/>
    <row r="909" ht="20.05" customHeight="1" x14ac:dyDescent="0.3"/>
    <row r="910" ht="20.05" customHeight="1" x14ac:dyDescent="0.3"/>
    <row r="911" ht="20.05" customHeight="1" x14ac:dyDescent="0.3"/>
    <row r="912" ht="20.05" customHeight="1" x14ac:dyDescent="0.3"/>
    <row r="913" ht="20.05" customHeight="1" x14ac:dyDescent="0.3"/>
    <row r="914" ht="20.05" customHeight="1" x14ac:dyDescent="0.3"/>
    <row r="915" ht="20.05" customHeight="1" x14ac:dyDescent="0.3"/>
    <row r="916" ht="20.05" customHeight="1" x14ac:dyDescent="0.3"/>
    <row r="917" ht="20.05" customHeight="1" x14ac:dyDescent="0.3"/>
    <row r="918" ht="20.05" customHeight="1" x14ac:dyDescent="0.3"/>
    <row r="919" ht="20.05" customHeight="1" x14ac:dyDescent="0.3"/>
    <row r="920" ht="20.05" customHeight="1" x14ac:dyDescent="0.3"/>
    <row r="921" ht="20.05" customHeight="1" x14ac:dyDescent="0.3"/>
    <row r="922" ht="20.05" customHeight="1" x14ac:dyDescent="0.3"/>
    <row r="923" ht="20.05" customHeight="1" x14ac:dyDescent="0.3"/>
    <row r="924" ht="20.05" customHeight="1" x14ac:dyDescent="0.3"/>
    <row r="925" ht="20.05" customHeight="1" x14ac:dyDescent="0.3"/>
    <row r="926" ht="20.05" customHeight="1" x14ac:dyDescent="0.3"/>
    <row r="927" ht="20.05" customHeight="1" x14ac:dyDescent="0.3"/>
    <row r="928" ht="20.05" customHeight="1" x14ac:dyDescent="0.3"/>
    <row r="929" ht="20.05" customHeight="1" x14ac:dyDescent="0.3"/>
    <row r="930" ht="20.05" customHeight="1" x14ac:dyDescent="0.3"/>
    <row r="931" ht="20.05" customHeight="1" x14ac:dyDescent="0.3"/>
    <row r="932" ht="20.05" customHeight="1" x14ac:dyDescent="0.3"/>
    <row r="933" ht="20.05" customHeight="1" x14ac:dyDescent="0.3"/>
    <row r="934" ht="20.05" customHeight="1" x14ac:dyDescent="0.3"/>
    <row r="935" ht="20.05" customHeight="1" x14ac:dyDescent="0.3"/>
    <row r="936" ht="20.05" customHeight="1" x14ac:dyDescent="0.3"/>
    <row r="937" ht="20.05" customHeight="1" x14ac:dyDescent="0.3"/>
    <row r="938" ht="20.05" customHeight="1" x14ac:dyDescent="0.3"/>
    <row r="939" ht="20.05" customHeight="1" x14ac:dyDescent="0.3"/>
    <row r="940" ht="20.05" customHeight="1" x14ac:dyDescent="0.3"/>
    <row r="941" ht="20.05" customHeight="1" x14ac:dyDescent="0.3"/>
    <row r="942" ht="20.05" customHeight="1" x14ac:dyDescent="0.3"/>
    <row r="943" ht="20.05" customHeight="1" x14ac:dyDescent="0.3"/>
    <row r="944" ht="20.05" customHeight="1" x14ac:dyDescent="0.3"/>
    <row r="945" ht="20.05" customHeight="1" x14ac:dyDescent="0.3"/>
    <row r="946" ht="20.05" customHeight="1" x14ac:dyDescent="0.3"/>
    <row r="947" ht="20.05" customHeight="1" x14ac:dyDescent="0.3"/>
    <row r="948" ht="20.05" customHeight="1" x14ac:dyDescent="0.3"/>
    <row r="949" ht="20.05" customHeight="1" x14ac:dyDescent="0.3"/>
    <row r="950" ht="20.05" customHeight="1" x14ac:dyDescent="0.3"/>
    <row r="951" ht="20.05" customHeight="1" x14ac:dyDescent="0.3"/>
    <row r="952" ht="20.05" customHeight="1" x14ac:dyDescent="0.3"/>
    <row r="953" ht="20.05" customHeight="1" x14ac:dyDescent="0.3"/>
    <row r="954" ht="20.05" customHeight="1" x14ac:dyDescent="0.3"/>
    <row r="955" ht="20.05" customHeight="1" x14ac:dyDescent="0.3"/>
    <row r="956" ht="20.05" customHeight="1" x14ac:dyDescent="0.3"/>
    <row r="957" ht="20.05" customHeight="1" x14ac:dyDescent="0.3"/>
    <row r="958" ht="20.05" customHeight="1" x14ac:dyDescent="0.3"/>
    <row r="959" ht="20.05" customHeight="1" x14ac:dyDescent="0.3"/>
    <row r="960" ht="20.05" customHeight="1" x14ac:dyDescent="0.3"/>
    <row r="961" ht="20.05" customHeight="1" x14ac:dyDescent="0.3"/>
    <row r="962" ht="20.05" customHeight="1" x14ac:dyDescent="0.3"/>
    <row r="963" ht="20.05" customHeight="1" x14ac:dyDescent="0.3"/>
    <row r="964" ht="20.05" customHeight="1" x14ac:dyDescent="0.3"/>
    <row r="965" ht="20.05" customHeight="1" x14ac:dyDescent="0.3"/>
    <row r="966" ht="20.05" customHeight="1" x14ac:dyDescent="0.3"/>
    <row r="967" ht="20.05" customHeight="1" x14ac:dyDescent="0.3"/>
    <row r="968" ht="20.05" customHeight="1" x14ac:dyDescent="0.3"/>
    <row r="969" ht="20.05" customHeight="1" x14ac:dyDescent="0.3"/>
    <row r="970" ht="20.05" customHeight="1" x14ac:dyDescent="0.3"/>
    <row r="971" ht="20.05" customHeight="1" x14ac:dyDescent="0.3"/>
    <row r="972" ht="20.05" customHeight="1" x14ac:dyDescent="0.3"/>
    <row r="973" ht="20.05" customHeight="1" x14ac:dyDescent="0.3"/>
    <row r="974" ht="20.05" customHeight="1" x14ac:dyDescent="0.3"/>
    <row r="975" ht="20.05" customHeight="1" x14ac:dyDescent="0.3"/>
    <row r="976" ht="20.05" customHeight="1" x14ac:dyDescent="0.3"/>
    <row r="977" ht="20.05" customHeight="1" x14ac:dyDescent="0.3"/>
    <row r="978" ht="20.05" customHeight="1" x14ac:dyDescent="0.3"/>
    <row r="979" ht="20.05" customHeight="1" x14ac:dyDescent="0.3"/>
    <row r="980" ht="20.05" customHeight="1" x14ac:dyDescent="0.3"/>
    <row r="981" ht="20.05" customHeight="1" x14ac:dyDescent="0.3"/>
    <row r="982" ht="20.05" customHeight="1" x14ac:dyDescent="0.3"/>
    <row r="983" ht="20.05" customHeight="1" x14ac:dyDescent="0.3"/>
    <row r="984" ht="20.05" customHeight="1" x14ac:dyDescent="0.3"/>
    <row r="985" ht="20.05" customHeight="1" x14ac:dyDescent="0.3"/>
    <row r="986" ht="20.05" customHeight="1" x14ac:dyDescent="0.3"/>
    <row r="987" ht="20.05" customHeight="1" x14ac:dyDescent="0.3"/>
    <row r="988" ht="20.05" customHeight="1" x14ac:dyDescent="0.3"/>
    <row r="989" ht="20.05" customHeight="1" x14ac:dyDescent="0.3"/>
    <row r="990" ht="20.05" customHeight="1" x14ac:dyDescent="0.3"/>
    <row r="991" ht="20.05" customHeight="1" x14ac:dyDescent="0.3"/>
    <row r="992" ht="20.05" customHeight="1" x14ac:dyDescent="0.3"/>
    <row r="993" ht="20.05" customHeight="1" x14ac:dyDescent="0.3"/>
    <row r="994" ht="20.05" customHeight="1" x14ac:dyDescent="0.3"/>
    <row r="995" ht="20.05" customHeight="1" x14ac:dyDescent="0.3"/>
    <row r="996" ht="20.05" customHeight="1" x14ac:dyDescent="0.3"/>
    <row r="997" ht="20.05" customHeight="1" x14ac:dyDescent="0.3"/>
    <row r="998" ht="20.05" customHeight="1" x14ac:dyDescent="0.3"/>
    <row r="999" ht="20.05" customHeight="1" x14ac:dyDescent="0.3"/>
    <row r="1000" ht="20.05" customHeight="1" x14ac:dyDescent="0.3"/>
    <row r="1001" ht="20.05" customHeight="1" x14ac:dyDescent="0.3"/>
    <row r="1002" ht="20.05" customHeight="1" x14ac:dyDescent="0.3"/>
    <row r="1003" ht="20.05" customHeight="1" x14ac:dyDescent="0.3"/>
    <row r="1004" ht="20.05" customHeight="1" x14ac:dyDescent="0.3"/>
    <row r="1005" ht="20.05" customHeight="1" x14ac:dyDescent="0.3"/>
    <row r="1006" ht="20.05" customHeight="1" x14ac:dyDescent="0.3"/>
    <row r="1007" ht="20.05" customHeight="1" x14ac:dyDescent="0.3"/>
    <row r="1008" ht="20.05" customHeight="1" x14ac:dyDescent="0.3"/>
    <row r="1009" ht="20.05" customHeight="1" x14ac:dyDescent="0.3"/>
    <row r="1010" ht="20.05" customHeight="1" x14ac:dyDescent="0.3"/>
    <row r="1011" ht="20.05" customHeight="1" x14ac:dyDescent="0.3"/>
    <row r="1012" ht="20.05" customHeight="1" x14ac:dyDescent="0.3"/>
    <row r="1013" ht="20.05" customHeight="1" x14ac:dyDescent="0.3"/>
    <row r="1014" ht="20.05" customHeight="1" x14ac:dyDescent="0.3"/>
    <row r="1015" ht="20.05" customHeight="1" x14ac:dyDescent="0.3"/>
    <row r="1016" ht="20.05" customHeight="1" x14ac:dyDescent="0.3"/>
    <row r="1017" ht="20.05" customHeight="1" x14ac:dyDescent="0.3"/>
    <row r="1018" ht="20.05" customHeight="1" x14ac:dyDescent="0.3"/>
    <row r="1019" ht="20.05" customHeight="1" x14ac:dyDescent="0.3"/>
    <row r="1020" ht="20.05" customHeight="1" x14ac:dyDescent="0.3"/>
    <row r="1021" ht="20.05" customHeight="1" x14ac:dyDescent="0.3"/>
    <row r="1022" ht="20.05" customHeight="1" x14ac:dyDescent="0.3"/>
    <row r="1023" ht="20.05" customHeight="1" x14ac:dyDescent="0.3"/>
    <row r="1024" ht="20.05" customHeight="1" x14ac:dyDescent="0.3"/>
    <row r="1025" ht="20.05" customHeight="1" x14ac:dyDescent="0.3"/>
    <row r="1026" ht="20.05" customHeight="1" x14ac:dyDescent="0.3"/>
    <row r="1027" ht="20.05" customHeight="1" x14ac:dyDescent="0.3"/>
    <row r="1028" ht="20.05" customHeight="1" x14ac:dyDescent="0.3"/>
    <row r="1029" ht="20.05" customHeight="1" x14ac:dyDescent="0.3"/>
    <row r="1030" ht="20.05" customHeight="1" x14ac:dyDescent="0.3"/>
    <row r="1031" ht="20.05" customHeight="1" x14ac:dyDescent="0.3"/>
    <row r="1032" ht="20.05" customHeight="1" x14ac:dyDescent="0.3"/>
    <row r="1033" ht="20.05" customHeight="1" x14ac:dyDescent="0.3"/>
    <row r="1034" ht="20.05" customHeight="1" x14ac:dyDescent="0.3"/>
    <row r="1035" ht="20.05" customHeight="1" x14ac:dyDescent="0.3"/>
    <row r="1036" ht="20.05" customHeight="1" x14ac:dyDescent="0.3"/>
    <row r="1037" ht="20.05" customHeight="1" x14ac:dyDescent="0.3"/>
    <row r="1038" ht="20.05" customHeight="1" x14ac:dyDescent="0.3"/>
    <row r="1039" ht="20.05" customHeight="1" x14ac:dyDescent="0.3"/>
    <row r="1040" ht="20.05" customHeight="1" x14ac:dyDescent="0.3"/>
    <row r="1041" ht="20.05" customHeight="1" x14ac:dyDescent="0.3"/>
    <row r="1042" ht="20.05" customHeight="1" x14ac:dyDescent="0.3"/>
    <row r="1043" ht="20.05" customHeight="1" x14ac:dyDescent="0.3"/>
    <row r="1044" ht="20.05" customHeight="1" x14ac:dyDescent="0.3"/>
    <row r="1045" ht="20.05" customHeight="1" x14ac:dyDescent="0.3"/>
    <row r="1046" ht="20.05" customHeight="1" x14ac:dyDescent="0.3"/>
    <row r="1047" ht="20.05" customHeight="1" x14ac:dyDescent="0.3"/>
    <row r="1048" ht="20.05" customHeight="1" x14ac:dyDescent="0.3"/>
    <row r="1049" ht="20.05" customHeight="1" x14ac:dyDescent="0.3"/>
    <row r="1050" ht="20.05" customHeight="1" x14ac:dyDescent="0.3"/>
    <row r="1051" ht="20.05" customHeight="1" x14ac:dyDescent="0.3"/>
    <row r="1052" ht="20.05" customHeight="1" x14ac:dyDescent="0.3"/>
    <row r="1053" ht="20.05" customHeight="1" x14ac:dyDescent="0.3"/>
    <row r="1054" ht="20.05" customHeight="1" x14ac:dyDescent="0.3"/>
    <row r="1055" ht="20.05" customHeight="1" x14ac:dyDescent="0.3"/>
    <row r="1056" ht="20.05" customHeight="1" x14ac:dyDescent="0.3"/>
    <row r="1057" ht="20.05" customHeight="1" x14ac:dyDescent="0.3"/>
    <row r="1058" ht="20.05" customHeight="1" x14ac:dyDescent="0.3"/>
    <row r="1059" ht="20.05" customHeight="1" x14ac:dyDescent="0.3"/>
    <row r="1060" ht="20.05" customHeight="1" x14ac:dyDescent="0.3"/>
    <row r="1061" ht="20.05" customHeight="1" x14ac:dyDescent="0.3"/>
    <row r="1062" ht="20.05" customHeight="1" x14ac:dyDescent="0.3"/>
    <row r="1063" ht="20.05" customHeight="1" x14ac:dyDescent="0.3"/>
    <row r="1064" ht="20.05" customHeight="1" x14ac:dyDescent="0.3"/>
    <row r="1065" ht="20.05" customHeight="1" x14ac:dyDescent="0.3"/>
    <row r="1066" ht="20.05" customHeight="1" x14ac:dyDescent="0.3"/>
    <row r="1067" ht="20.05" customHeight="1" x14ac:dyDescent="0.3"/>
    <row r="1068" ht="20.05" customHeight="1" x14ac:dyDescent="0.3"/>
    <row r="1069" ht="20.05" customHeight="1" x14ac:dyDescent="0.3"/>
    <row r="1070" ht="20.05" customHeight="1" x14ac:dyDescent="0.3"/>
    <row r="1071" ht="20.05" customHeight="1" x14ac:dyDescent="0.3"/>
    <row r="1072" ht="20.05" customHeight="1" x14ac:dyDescent="0.3"/>
    <row r="1073" ht="20.05" customHeight="1" x14ac:dyDescent="0.3"/>
    <row r="1074" ht="20.05" customHeight="1" x14ac:dyDescent="0.3"/>
    <row r="1075" ht="20.05" customHeight="1" x14ac:dyDescent="0.3"/>
    <row r="1076" ht="20.05" customHeight="1" x14ac:dyDescent="0.3"/>
    <row r="1077" ht="20.05" customHeight="1" x14ac:dyDescent="0.3"/>
    <row r="1078" ht="20.05" customHeight="1" x14ac:dyDescent="0.3"/>
    <row r="1079" ht="20.05" customHeight="1" x14ac:dyDescent="0.3"/>
    <row r="1080" ht="20.05" customHeight="1" x14ac:dyDescent="0.3"/>
    <row r="1081" ht="20.05" customHeight="1" x14ac:dyDescent="0.3"/>
    <row r="1082" ht="20.05" customHeight="1" x14ac:dyDescent="0.3"/>
    <row r="1083" ht="20.05" customHeight="1" x14ac:dyDescent="0.3"/>
    <row r="1084" ht="20.05" customHeight="1" x14ac:dyDescent="0.3"/>
    <row r="1085" ht="20.05" customHeight="1" x14ac:dyDescent="0.3"/>
    <row r="1086" ht="20.05" customHeight="1" x14ac:dyDescent="0.3"/>
    <row r="1087" ht="20.05" customHeight="1" x14ac:dyDescent="0.3"/>
    <row r="1088" ht="20.05" customHeight="1" x14ac:dyDescent="0.3"/>
    <row r="1089" ht="20.05" customHeight="1" x14ac:dyDescent="0.3"/>
    <row r="1090" ht="20.05" customHeight="1" x14ac:dyDescent="0.3"/>
    <row r="1091" ht="20.05" customHeight="1" x14ac:dyDescent="0.3"/>
    <row r="1092" ht="20.05" customHeight="1" x14ac:dyDescent="0.3"/>
    <row r="1093" ht="20.05" customHeight="1" x14ac:dyDescent="0.3"/>
    <row r="1094" ht="20.05" customHeight="1" x14ac:dyDescent="0.3"/>
    <row r="1095" ht="20.05" customHeight="1" x14ac:dyDescent="0.3"/>
    <row r="1096" ht="20.05" customHeight="1" x14ac:dyDescent="0.3"/>
    <row r="1097" ht="20.05" customHeight="1" x14ac:dyDescent="0.3"/>
    <row r="1098" ht="20.05" customHeight="1" x14ac:dyDescent="0.3"/>
    <row r="1099" ht="20.05" customHeight="1" x14ac:dyDescent="0.3"/>
    <row r="1100" ht="20.05" customHeight="1" x14ac:dyDescent="0.3"/>
    <row r="1101" ht="20.05" customHeight="1" x14ac:dyDescent="0.3"/>
    <row r="1102" ht="20.05" customHeight="1" x14ac:dyDescent="0.3"/>
    <row r="1103" ht="20.05" customHeight="1" x14ac:dyDescent="0.3"/>
    <row r="1104" ht="20.05" customHeight="1" x14ac:dyDescent="0.3"/>
    <row r="1105" ht="20.05" customHeight="1" x14ac:dyDescent="0.3"/>
    <row r="1106" ht="20.05" customHeight="1" x14ac:dyDescent="0.3"/>
    <row r="1107" ht="20.05" customHeight="1" x14ac:dyDescent="0.3"/>
    <row r="1108" ht="20.05" customHeight="1" x14ac:dyDescent="0.3"/>
    <row r="1109" ht="20.05" customHeight="1" x14ac:dyDescent="0.3"/>
    <row r="1110" ht="20.05" customHeight="1" x14ac:dyDescent="0.3"/>
    <row r="1111" ht="20.05" customHeight="1" x14ac:dyDescent="0.3"/>
    <row r="1112" ht="20.05" customHeight="1" x14ac:dyDescent="0.3"/>
    <row r="1113" ht="20.05" customHeight="1" x14ac:dyDescent="0.3"/>
    <row r="1114" ht="20.05" customHeight="1" x14ac:dyDescent="0.3"/>
    <row r="1115" ht="20.05" customHeight="1" x14ac:dyDescent="0.3"/>
    <row r="1116" ht="20.05" customHeight="1" x14ac:dyDescent="0.3"/>
    <row r="1117" ht="20.05" customHeight="1" x14ac:dyDescent="0.3"/>
    <row r="1118" ht="20.05" customHeight="1" x14ac:dyDescent="0.3"/>
    <row r="1119" ht="20.05" customHeight="1" x14ac:dyDescent="0.3"/>
    <row r="1120" ht="20.05" customHeight="1" x14ac:dyDescent="0.3"/>
    <row r="1121" ht="20.05" customHeight="1" x14ac:dyDescent="0.3"/>
    <row r="1122" ht="20.05" customHeight="1" x14ac:dyDescent="0.3"/>
    <row r="1123" ht="20.05" customHeight="1" x14ac:dyDescent="0.3"/>
    <row r="1124" ht="20.05" customHeight="1" x14ac:dyDescent="0.3"/>
    <row r="1125" ht="20.05" customHeight="1" x14ac:dyDescent="0.3"/>
    <row r="1126" ht="20.05" customHeight="1" x14ac:dyDescent="0.3"/>
    <row r="1127" ht="20.05" customHeight="1" x14ac:dyDescent="0.3"/>
    <row r="1128" ht="20.05" customHeight="1" x14ac:dyDescent="0.3"/>
    <row r="1129" ht="20.05" customHeight="1" x14ac:dyDescent="0.3"/>
    <row r="1130" ht="20.05" customHeight="1" x14ac:dyDescent="0.3"/>
    <row r="1131" ht="20.05" customHeight="1" x14ac:dyDescent="0.3"/>
    <row r="1132" ht="20.05" customHeight="1" x14ac:dyDescent="0.3"/>
    <row r="1133" ht="20.05" customHeight="1" x14ac:dyDescent="0.3"/>
    <row r="1134" ht="20.05" customHeight="1" x14ac:dyDescent="0.3"/>
    <row r="1135" ht="20.05" customHeight="1" x14ac:dyDescent="0.3"/>
    <row r="1136" ht="20.05" customHeight="1" x14ac:dyDescent="0.3"/>
    <row r="1137" ht="20.05" customHeight="1" x14ac:dyDescent="0.3"/>
    <row r="1138" ht="20.05" customHeight="1" x14ac:dyDescent="0.3"/>
    <row r="1139" ht="20.05" customHeight="1" x14ac:dyDescent="0.3"/>
    <row r="1140" ht="20.05" customHeight="1" x14ac:dyDescent="0.3"/>
    <row r="1141" ht="20.05" customHeight="1" x14ac:dyDescent="0.3"/>
    <row r="1142" ht="20.05" customHeight="1" x14ac:dyDescent="0.3"/>
    <row r="1143" ht="20.05" customHeight="1" x14ac:dyDescent="0.3"/>
    <row r="1144" ht="20.05" customHeight="1" x14ac:dyDescent="0.3"/>
    <row r="1145" ht="20.05" customHeight="1" x14ac:dyDescent="0.3"/>
    <row r="1146" ht="20.05" customHeight="1" x14ac:dyDescent="0.3"/>
    <row r="1147" ht="20.05" customHeight="1" x14ac:dyDescent="0.3"/>
    <row r="1148" ht="20.05" customHeight="1" x14ac:dyDescent="0.3"/>
    <row r="1149" ht="20.05" customHeight="1" x14ac:dyDescent="0.3"/>
    <row r="1150" ht="20.05" customHeight="1" x14ac:dyDescent="0.3"/>
    <row r="1151" ht="20.05" customHeight="1" x14ac:dyDescent="0.3"/>
    <row r="1152" ht="20.05" customHeight="1" x14ac:dyDescent="0.3"/>
    <row r="1153" ht="20.05" customHeight="1" x14ac:dyDescent="0.3"/>
    <row r="1154" ht="20.05" customHeight="1" x14ac:dyDescent="0.3"/>
    <row r="1155" ht="20.05" customHeight="1" x14ac:dyDescent="0.3"/>
    <row r="1156" ht="20.05" customHeight="1" x14ac:dyDescent="0.3"/>
    <row r="1157" ht="20.05" customHeight="1" x14ac:dyDescent="0.3"/>
    <row r="1158" ht="20.05" customHeight="1" x14ac:dyDescent="0.3"/>
    <row r="1159" ht="20.05" customHeight="1" x14ac:dyDescent="0.3"/>
    <row r="1160" ht="20.05" customHeight="1" x14ac:dyDescent="0.3"/>
    <row r="1161" ht="20.05" customHeight="1" x14ac:dyDescent="0.3"/>
    <row r="1162" ht="20.05" customHeight="1" x14ac:dyDescent="0.3"/>
    <row r="1163" ht="20.05" customHeight="1" x14ac:dyDescent="0.3"/>
    <row r="1164" ht="20.05" customHeight="1" x14ac:dyDescent="0.3"/>
    <row r="1165" ht="20.05" customHeight="1" x14ac:dyDescent="0.3"/>
    <row r="1166" ht="20.05" customHeight="1" x14ac:dyDescent="0.3"/>
    <row r="1167" ht="20.05" customHeight="1" x14ac:dyDescent="0.3"/>
    <row r="1168" ht="20.05" customHeight="1" x14ac:dyDescent="0.3"/>
    <row r="1169" ht="20.05" customHeight="1" x14ac:dyDescent="0.3"/>
    <row r="1170" ht="20.05" customHeight="1" x14ac:dyDescent="0.3"/>
    <row r="1171" ht="20.05" customHeight="1" x14ac:dyDescent="0.3"/>
    <row r="1172" ht="20.05" customHeight="1" x14ac:dyDescent="0.3"/>
    <row r="1173" ht="20.05" customHeight="1" x14ac:dyDescent="0.3"/>
    <row r="1174" ht="20.05" customHeight="1" x14ac:dyDescent="0.3"/>
    <row r="1175" ht="20.05" customHeight="1" x14ac:dyDescent="0.3"/>
    <row r="1176" ht="20.05" customHeight="1" x14ac:dyDescent="0.3"/>
    <row r="1177" ht="20.05" customHeight="1" x14ac:dyDescent="0.3"/>
    <row r="1178" ht="20.05" customHeight="1" x14ac:dyDescent="0.3"/>
    <row r="1179" ht="20.05" customHeight="1" x14ac:dyDescent="0.3"/>
    <row r="1180" ht="20.05" customHeight="1" x14ac:dyDescent="0.3"/>
    <row r="1181" ht="20.05" customHeight="1" x14ac:dyDescent="0.3"/>
    <row r="1182" ht="20.05" customHeight="1" x14ac:dyDescent="0.3"/>
    <row r="1183" ht="20.05" customHeight="1" x14ac:dyDescent="0.3"/>
    <row r="1184" ht="20.05" customHeight="1" x14ac:dyDescent="0.3"/>
    <row r="1185" ht="20.05" customHeight="1" x14ac:dyDescent="0.3"/>
    <row r="1186" ht="20.05" customHeight="1" x14ac:dyDescent="0.3"/>
    <row r="1187" ht="20.05" customHeight="1" x14ac:dyDescent="0.3"/>
    <row r="1188" ht="20.05" customHeight="1" x14ac:dyDescent="0.3"/>
    <row r="1189" ht="20.05" customHeight="1" x14ac:dyDescent="0.3"/>
    <row r="1190" ht="20.05" customHeight="1" x14ac:dyDescent="0.3"/>
    <row r="1191" ht="20.05" customHeight="1" x14ac:dyDescent="0.3"/>
    <row r="1192" ht="20.05" customHeight="1" x14ac:dyDescent="0.3"/>
    <row r="1193" ht="20.05" customHeight="1" x14ac:dyDescent="0.3"/>
    <row r="1194" ht="20.05" customHeight="1" x14ac:dyDescent="0.3"/>
    <row r="1195" ht="20.05" customHeight="1" x14ac:dyDescent="0.3"/>
    <row r="1196" ht="20.05" customHeight="1" x14ac:dyDescent="0.3"/>
    <row r="1197" ht="20.05" customHeight="1" x14ac:dyDescent="0.3"/>
    <row r="1198" ht="20.05" customHeight="1" x14ac:dyDescent="0.3"/>
    <row r="1199" ht="20.05" customHeight="1" x14ac:dyDescent="0.3"/>
    <row r="1200" ht="20.05" customHeight="1" x14ac:dyDescent="0.3"/>
    <row r="1201" ht="20.05" customHeight="1" x14ac:dyDescent="0.3"/>
    <row r="1202" ht="20.05" customHeight="1" x14ac:dyDescent="0.3"/>
    <row r="1203" ht="20.05" customHeight="1" x14ac:dyDescent="0.3"/>
    <row r="1204" ht="20.05" customHeight="1" x14ac:dyDescent="0.3"/>
    <row r="1205" ht="20.05" customHeight="1" x14ac:dyDescent="0.3"/>
    <row r="1206" ht="20.05" customHeight="1" x14ac:dyDescent="0.3"/>
    <row r="1207" ht="20.05" customHeight="1" x14ac:dyDescent="0.3"/>
    <row r="1208" ht="20.05" customHeight="1" x14ac:dyDescent="0.3"/>
    <row r="1209" ht="20.05" customHeight="1" x14ac:dyDescent="0.3"/>
    <row r="1210" ht="20.05" customHeight="1" x14ac:dyDescent="0.3"/>
    <row r="1211" ht="20.05" customHeight="1" x14ac:dyDescent="0.3"/>
    <row r="1212" ht="20.05" customHeight="1" x14ac:dyDescent="0.3"/>
    <row r="1213" ht="20.05" customHeight="1" x14ac:dyDescent="0.3"/>
    <row r="1214" ht="20.05" customHeight="1" x14ac:dyDescent="0.3"/>
    <row r="1215" ht="20.05" customHeight="1" x14ac:dyDescent="0.3"/>
    <row r="1216" ht="20.05" customHeight="1" x14ac:dyDescent="0.3"/>
    <row r="1217" ht="20.05" customHeight="1" x14ac:dyDescent="0.3"/>
    <row r="1218" ht="20.05" customHeight="1" x14ac:dyDescent="0.3"/>
    <row r="1219" ht="20.05" customHeight="1" x14ac:dyDescent="0.3"/>
    <row r="1220" ht="20.05" customHeight="1" x14ac:dyDescent="0.3"/>
    <row r="1221" ht="20.05" customHeight="1" x14ac:dyDescent="0.3"/>
    <row r="1222" ht="20.05" customHeight="1" x14ac:dyDescent="0.3"/>
    <row r="1223" ht="20.05" customHeight="1" x14ac:dyDescent="0.3"/>
    <row r="1224" ht="20.05" customHeight="1" x14ac:dyDescent="0.3"/>
    <row r="1225" ht="20.05" customHeight="1" x14ac:dyDescent="0.3"/>
    <row r="1226" ht="20.05" customHeight="1" x14ac:dyDescent="0.3"/>
    <row r="1227" ht="20.05" customHeight="1" x14ac:dyDescent="0.3"/>
    <row r="1228" ht="20.05" customHeight="1" x14ac:dyDescent="0.3"/>
    <row r="1229" ht="20.05" customHeight="1" x14ac:dyDescent="0.3"/>
    <row r="1230" ht="20.05" customHeight="1" x14ac:dyDescent="0.3"/>
    <row r="1231" ht="20.05" customHeight="1" x14ac:dyDescent="0.3"/>
    <row r="1232" ht="20.05" customHeight="1" x14ac:dyDescent="0.3"/>
    <row r="1233" ht="20.05" customHeight="1" x14ac:dyDescent="0.3"/>
    <row r="1234" ht="20.05" customHeight="1" x14ac:dyDescent="0.3"/>
    <row r="1235" ht="20.05" customHeight="1" x14ac:dyDescent="0.3"/>
    <row r="1236" ht="20.05" customHeight="1" x14ac:dyDescent="0.3"/>
    <row r="1237" ht="20.05" customHeight="1" x14ac:dyDescent="0.3"/>
    <row r="1238" ht="20.05" customHeight="1" x14ac:dyDescent="0.3"/>
    <row r="1239" ht="20.05" customHeight="1" x14ac:dyDescent="0.3"/>
    <row r="1240" ht="20.05" customHeight="1" x14ac:dyDescent="0.3"/>
    <row r="1241" ht="20.05" customHeight="1" x14ac:dyDescent="0.3"/>
    <row r="1242" ht="20.05" customHeight="1" x14ac:dyDescent="0.3"/>
    <row r="1243" ht="20.05" customHeight="1" x14ac:dyDescent="0.3"/>
    <row r="1244" ht="20.05" customHeight="1" x14ac:dyDescent="0.3"/>
    <row r="1245" ht="20.05" customHeight="1" x14ac:dyDescent="0.3"/>
    <row r="1246" ht="20.05" customHeight="1" x14ac:dyDescent="0.3"/>
    <row r="1247" ht="20.05" customHeight="1" x14ac:dyDescent="0.3"/>
    <row r="1248" ht="20.05" customHeight="1" x14ac:dyDescent="0.3"/>
    <row r="1249" ht="20.05" customHeight="1" x14ac:dyDescent="0.3"/>
    <row r="1250" ht="20.05" customHeight="1" x14ac:dyDescent="0.3"/>
    <row r="1251" ht="20.05" customHeight="1" x14ac:dyDescent="0.3"/>
    <row r="1252" ht="20.05" customHeight="1" x14ac:dyDescent="0.3"/>
    <row r="1253" ht="20.05" customHeight="1" x14ac:dyDescent="0.3"/>
    <row r="1254" ht="20.05" customHeight="1" x14ac:dyDescent="0.3"/>
    <row r="1255" ht="20.05" customHeight="1" x14ac:dyDescent="0.3"/>
    <row r="1256" ht="20.05" customHeight="1" x14ac:dyDescent="0.3"/>
    <row r="1257" ht="20.05" customHeight="1" x14ac:dyDescent="0.3"/>
    <row r="1258" ht="20.05" customHeight="1" x14ac:dyDescent="0.3"/>
    <row r="1259" ht="20.05" customHeight="1" x14ac:dyDescent="0.3"/>
    <row r="1260" ht="20.05" customHeight="1" x14ac:dyDescent="0.3"/>
    <row r="1261" ht="20.05" customHeight="1" x14ac:dyDescent="0.3"/>
    <row r="1262" ht="20.05" customHeight="1" x14ac:dyDescent="0.3"/>
    <row r="1263" ht="20.05" customHeight="1" x14ac:dyDescent="0.3"/>
    <row r="1264" ht="20.05" customHeight="1" x14ac:dyDescent="0.3"/>
    <row r="1265" ht="20.05" customHeight="1" x14ac:dyDescent="0.3"/>
    <row r="1266" ht="20.05" customHeight="1" x14ac:dyDescent="0.3"/>
    <row r="1267" ht="20.05" customHeight="1" x14ac:dyDescent="0.3"/>
    <row r="1268" ht="20.05" customHeight="1" x14ac:dyDescent="0.3"/>
    <row r="1269" ht="20.05" customHeight="1" x14ac:dyDescent="0.3"/>
    <row r="1270" ht="20.05" customHeight="1" x14ac:dyDescent="0.3"/>
    <row r="1271" ht="20.05" customHeight="1" x14ac:dyDescent="0.3"/>
    <row r="1272" ht="20.05" customHeight="1" x14ac:dyDescent="0.3"/>
    <row r="1273" ht="20.05" customHeight="1" x14ac:dyDescent="0.3"/>
    <row r="1274" ht="20.05" customHeight="1" x14ac:dyDescent="0.3"/>
    <row r="1275" ht="20.05" customHeight="1" x14ac:dyDescent="0.3"/>
    <row r="1276" ht="20.05" customHeight="1" x14ac:dyDescent="0.3"/>
    <row r="1277" ht="20.05" customHeight="1" x14ac:dyDescent="0.3"/>
    <row r="1278" ht="20.05" customHeight="1" x14ac:dyDescent="0.3"/>
    <row r="1279" ht="20.05" customHeight="1" x14ac:dyDescent="0.3"/>
    <row r="1280" ht="20.05" customHeight="1" x14ac:dyDescent="0.3"/>
    <row r="1281" ht="20.05" customHeight="1" x14ac:dyDescent="0.3"/>
    <row r="1282" ht="20.05" customHeight="1" x14ac:dyDescent="0.3"/>
    <row r="1283" ht="20.05" customHeight="1" x14ac:dyDescent="0.3"/>
    <row r="1284" ht="20.05" customHeight="1" x14ac:dyDescent="0.3"/>
    <row r="1285" ht="20.05" customHeight="1" x14ac:dyDescent="0.3"/>
    <row r="1286" ht="20.05" customHeight="1" x14ac:dyDescent="0.3"/>
    <row r="1287" ht="20.05" customHeight="1" x14ac:dyDescent="0.3"/>
    <row r="1288" ht="20.05" customHeight="1" x14ac:dyDescent="0.3"/>
    <row r="1289" ht="20.05" customHeight="1" x14ac:dyDescent="0.3"/>
    <row r="1290" ht="20.05" customHeight="1" x14ac:dyDescent="0.3"/>
    <row r="1291" ht="20.05" customHeight="1" x14ac:dyDescent="0.3"/>
    <row r="1292" ht="20.05" customHeight="1" x14ac:dyDescent="0.3"/>
    <row r="1293" ht="20.05" customHeight="1" x14ac:dyDescent="0.3"/>
    <row r="1294" ht="20.05" customHeight="1" x14ac:dyDescent="0.3"/>
    <row r="1295" ht="20.05" customHeight="1" x14ac:dyDescent="0.3"/>
    <row r="1296" ht="20.05" customHeight="1" x14ac:dyDescent="0.3"/>
    <row r="1297" ht="20.05" customHeight="1" x14ac:dyDescent="0.3"/>
    <row r="1298" ht="20.05" customHeight="1" x14ac:dyDescent="0.3"/>
    <row r="1299" ht="20.05" customHeight="1" x14ac:dyDescent="0.3"/>
    <row r="1300" ht="20.05" customHeight="1" x14ac:dyDescent="0.3"/>
    <row r="1301" ht="20.05" customHeight="1" x14ac:dyDescent="0.3"/>
    <row r="1302" ht="20.05" customHeight="1" x14ac:dyDescent="0.3"/>
    <row r="1303" ht="20.05" customHeight="1" x14ac:dyDescent="0.3"/>
    <row r="1304" ht="20.05" customHeight="1" x14ac:dyDescent="0.3"/>
    <row r="1305" ht="20.05" customHeight="1" x14ac:dyDescent="0.3"/>
    <row r="1306" ht="20.05" customHeight="1" x14ac:dyDescent="0.3"/>
    <row r="1307" ht="20.05" customHeight="1" x14ac:dyDescent="0.3"/>
    <row r="1308" ht="20.05" customHeight="1" x14ac:dyDescent="0.3"/>
    <row r="1309" ht="20.05" customHeight="1" x14ac:dyDescent="0.3"/>
    <row r="1310" ht="20.05" customHeight="1" x14ac:dyDescent="0.3"/>
    <row r="1311" ht="20.05" customHeight="1" x14ac:dyDescent="0.3"/>
    <row r="1312" ht="20.05" customHeight="1" x14ac:dyDescent="0.3"/>
    <row r="1313" ht="20.05" customHeight="1" x14ac:dyDescent="0.3"/>
    <row r="1314" ht="20.05" customHeight="1" x14ac:dyDescent="0.3"/>
    <row r="1315" ht="20.05" customHeight="1" x14ac:dyDescent="0.3"/>
    <row r="1316" ht="20.05" customHeight="1" x14ac:dyDescent="0.3"/>
    <row r="1317" ht="20.05" customHeight="1" x14ac:dyDescent="0.3"/>
    <row r="1318" ht="20.05" customHeight="1" x14ac:dyDescent="0.3"/>
    <row r="1319" ht="20.05" customHeight="1" x14ac:dyDescent="0.3"/>
    <row r="1320" ht="20.05" customHeight="1" x14ac:dyDescent="0.3"/>
    <row r="1321" ht="20.05" customHeight="1" x14ac:dyDescent="0.3"/>
    <row r="1322" ht="20.05" customHeight="1" x14ac:dyDescent="0.3"/>
    <row r="1323" ht="20.05" customHeight="1" x14ac:dyDescent="0.3"/>
    <row r="1324" ht="20.05" customHeight="1" x14ac:dyDescent="0.3"/>
    <row r="1325" ht="20.05" customHeight="1" x14ac:dyDescent="0.3"/>
    <row r="1326" ht="20.05" customHeight="1" x14ac:dyDescent="0.3"/>
    <row r="1327" ht="20.05" customHeight="1" x14ac:dyDescent="0.3"/>
    <row r="1328" ht="20.05" customHeight="1" x14ac:dyDescent="0.3"/>
    <row r="1329" ht="20.05" customHeight="1" x14ac:dyDescent="0.3"/>
    <row r="1330" ht="20.05" customHeight="1" x14ac:dyDescent="0.3"/>
    <row r="1331" ht="20.05" customHeight="1" x14ac:dyDescent="0.3"/>
    <row r="1332" ht="20.05" customHeight="1" x14ac:dyDescent="0.3"/>
    <row r="1333" ht="20.05" customHeight="1" x14ac:dyDescent="0.3"/>
    <row r="1334" ht="20.05" customHeight="1" x14ac:dyDescent="0.3"/>
    <row r="1335" ht="20.05" customHeight="1" x14ac:dyDescent="0.3"/>
    <row r="1336" ht="20.05" customHeight="1" x14ac:dyDescent="0.3"/>
    <row r="1337" ht="20.05" customHeight="1" x14ac:dyDescent="0.3"/>
    <row r="1338" ht="20.05" customHeight="1" x14ac:dyDescent="0.3"/>
    <row r="1339" ht="20.05" customHeight="1" x14ac:dyDescent="0.3"/>
    <row r="1340" ht="20.05" customHeight="1" x14ac:dyDescent="0.3"/>
    <row r="1341" ht="20.05" customHeight="1" x14ac:dyDescent="0.3"/>
    <row r="1342" ht="20.05" customHeight="1" x14ac:dyDescent="0.3"/>
    <row r="1343" ht="20.05" customHeight="1" x14ac:dyDescent="0.3"/>
    <row r="1344" ht="20.05" customHeight="1" x14ac:dyDescent="0.3"/>
    <row r="1345" ht="20.05" customHeight="1" x14ac:dyDescent="0.3"/>
    <row r="1346" ht="20.05" customHeight="1" x14ac:dyDescent="0.3"/>
    <row r="1347" ht="20.05" customHeight="1" x14ac:dyDescent="0.3"/>
    <row r="1348" ht="20.05" customHeight="1" x14ac:dyDescent="0.3"/>
    <row r="1349" ht="20.05" customHeight="1" x14ac:dyDescent="0.3"/>
    <row r="1350" ht="20.05" customHeight="1" x14ac:dyDescent="0.3"/>
    <row r="1351" ht="20.05" customHeight="1" x14ac:dyDescent="0.3"/>
    <row r="1352" ht="20.05" customHeight="1" x14ac:dyDescent="0.3"/>
    <row r="1353" ht="20.05" customHeight="1" x14ac:dyDescent="0.3"/>
    <row r="1354" ht="20.05" customHeight="1" x14ac:dyDescent="0.3"/>
    <row r="1355" ht="20.05" customHeight="1" x14ac:dyDescent="0.3"/>
    <row r="1356" ht="20.05" customHeight="1" x14ac:dyDescent="0.3"/>
    <row r="1357" ht="20.05" customHeight="1" x14ac:dyDescent="0.3"/>
    <row r="1358" ht="20.05" customHeight="1" x14ac:dyDescent="0.3"/>
    <row r="1359" ht="20.05" customHeight="1" x14ac:dyDescent="0.3"/>
    <row r="1360" ht="20.05" customHeight="1" x14ac:dyDescent="0.3"/>
    <row r="1361" ht="20.05" customHeight="1" x14ac:dyDescent="0.3"/>
    <row r="1362" ht="20.05" customHeight="1" x14ac:dyDescent="0.3"/>
    <row r="1363" ht="20.05" customHeight="1" x14ac:dyDescent="0.3"/>
    <row r="1364" ht="20.05" customHeight="1" x14ac:dyDescent="0.3"/>
    <row r="1365" ht="20.05" customHeight="1" x14ac:dyDescent="0.3"/>
    <row r="1366" ht="20.05" customHeight="1" x14ac:dyDescent="0.3"/>
    <row r="1367" ht="20.05" customHeight="1" x14ac:dyDescent="0.3"/>
    <row r="1368" ht="20.05" customHeight="1" x14ac:dyDescent="0.3"/>
    <row r="1369" ht="20.05" customHeight="1" x14ac:dyDescent="0.3"/>
    <row r="1370" ht="20.05" customHeight="1" x14ac:dyDescent="0.3"/>
    <row r="1371" ht="20.05" customHeight="1" x14ac:dyDescent="0.3"/>
    <row r="1372" ht="20.05" customHeight="1" x14ac:dyDescent="0.3"/>
    <row r="1373" ht="20.05" customHeight="1" x14ac:dyDescent="0.3"/>
    <row r="1374" ht="20.05" customHeight="1" x14ac:dyDescent="0.3"/>
    <row r="1375" ht="20.05" customHeight="1" x14ac:dyDescent="0.3"/>
    <row r="1376" ht="20.05" customHeight="1" x14ac:dyDescent="0.3"/>
    <row r="1377" ht="20.05" customHeight="1" x14ac:dyDescent="0.3"/>
    <row r="1378" ht="20.05" customHeight="1" x14ac:dyDescent="0.3"/>
    <row r="1379" ht="20.05" customHeight="1" x14ac:dyDescent="0.3"/>
    <row r="1380" ht="20.05" customHeight="1" x14ac:dyDescent="0.3"/>
    <row r="1381" ht="20.05" customHeight="1" x14ac:dyDescent="0.3"/>
    <row r="1382" ht="20.05" customHeight="1" x14ac:dyDescent="0.3"/>
    <row r="1383" ht="20.05" customHeight="1" x14ac:dyDescent="0.3"/>
    <row r="1384" ht="20.05" customHeight="1" x14ac:dyDescent="0.3"/>
    <row r="1385" ht="20.05" customHeight="1" x14ac:dyDescent="0.3"/>
    <row r="1386" ht="20.05" customHeight="1" x14ac:dyDescent="0.3"/>
    <row r="1387" ht="20.05" customHeight="1" x14ac:dyDescent="0.3"/>
    <row r="1388" ht="20.05" customHeight="1" x14ac:dyDescent="0.3"/>
    <row r="1389" ht="20.05" customHeight="1" x14ac:dyDescent="0.3"/>
    <row r="1390" ht="20.05" customHeight="1" x14ac:dyDescent="0.3"/>
    <row r="1391" ht="20.05" customHeight="1" x14ac:dyDescent="0.3"/>
    <row r="1392" ht="20.05" customHeight="1" x14ac:dyDescent="0.3"/>
    <row r="1393" ht="20.05" customHeight="1" x14ac:dyDescent="0.3"/>
    <row r="1394" ht="20.05" customHeight="1" x14ac:dyDescent="0.3"/>
    <row r="1395" ht="20.05" customHeight="1" x14ac:dyDescent="0.3"/>
    <row r="1396" ht="20.05" customHeight="1" x14ac:dyDescent="0.3"/>
    <row r="1397" ht="20.05" customHeight="1" x14ac:dyDescent="0.3"/>
    <row r="1398" ht="20.05" customHeight="1" x14ac:dyDescent="0.3"/>
    <row r="1399" ht="20.05" customHeight="1" x14ac:dyDescent="0.3"/>
    <row r="1400" ht="20.05" customHeight="1" x14ac:dyDescent="0.3"/>
    <row r="1401" ht="20.05" customHeight="1" x14ac:dyDescent="0.3"/>
    <row r="1402" ht="20.05" customHeight="1" x14ac:dyDescent="0.3"/>
    <row r="1403" ht="20.05" customHeight="1" x14ac:dyDescent="0.3"/>
    <row r="1404" ht="20.05" customHeight="1" x14ac:dyDescent="0.3"/>
    <row r="1405" ht="20.05" customHeight="1" x14ac:dyDescent="0.3"/>
    <row r="1406" ht="20.05" customHeight="1" x14ac:dyDescent="0.3"/>
    <row r="1407" ht="20.05" customHeight="1" x14ac:dyDescent="0.3"/>
    <row r="1408" ht="20.05" customHeight="1" x14ac:dyDescent="0.3"/>
    <row r="1409" ht="20.05" customHeight="1" x14ac:dyDescent="0.3"/>
    <row r="1410" ht="20.05" customHeight="1" x14ac:dyDescent="0.3"/>
    <row r="1411" ht="20.05" customHeight="1" x14ac:dyDescent="0.3"/>
    <row r="1412" ht="20.05" customHeight="1" x14ac:dyDescent="0.3"/>
    <row r="1413" ht="20.05" customHeight="1" x14ac:dyDescent="0.3"/>
    <row r="1414" ht="20.05" customHeight="1" x14ac:dyDescent="0.3"/>
    <row r="1415" ht="20.05" customHeight="1" x14ac:dyDescent="0.3"/>
    <row r="1416" ht="20.05" customHeight="1" x14ac:dyDescent="0.3"/>
    <row r="1417" ht="20.05" customHeight="1" x14ac:dyDescent="0.3"/>
    <row r="1418" ht="20.05" customHeight="1" x14ac:dyDescent="0.3"/>
    <row r="1419" ht="20.05" customHeight="1" x14ac:dyDescent="0.3"/>
    <row r="1420" ht="20.05" customHeight="1" x14ac:dyDescent="0.3"/>
    <row r="1421" ht="20.05" customHeight="1" x14ac:dyDescent="0.3"/>
    <row r="1422" ht="20.05" customHeight="1" x14ac:dyDescent="0.3"/>
    <row r="1423" ht="20.05" customHeight="1" x14ac:dyDescent="0.3"/>
    <row r="1424" ht="20.05" customHeight="1" x14ac:dyDescent="0.3"/>
    <row r="1425" ht="20.05" customHeight="1" x14ac:dyDescent="0.3"/>
    <row r="1426" ht="20.05" customHeight="1" x14ac:dyDescent="0.3"/>
    <row r="1427" ht="20.05" customHeight="1" x14ac:dyDescent="0.3"/>
    <row r="1428" ht="20.05" customHeight="1" x14ac:dyDescent="0.3"/>
    <row r="1429" ht="20.05" customHeight="1" x14ac:dyDescent="0.3"/>
    <row r="1430" ht="20.05" customHeight="1" x14ac:dyDescent="0.3"/>
    <row r="1431" ht="20.05" customHeight="1" x14ac:dyDescent="0.3"/>
    <row r="1432" ht="20.05" customHeight="1" x14ac:dyDescent="0.3"/>
    <row r="1433" ht="20.05" customHeight="1" x14ac:dyDescent="0.3"/>
    <row r="1434" ht="20.05" customHeight="1" x14ac:dyDescent="0.3"/>
    <row r="1435" ht="20.05" customHeight="1" x14ac:dyDescent="0.3"/>
    <row r="1436" ht="20.05" customHeight="1" x14ac:dyDescent="0.3"/>
    <row r="1437" ht="20.05" customHeight="1" x14ac:dyDescent="0.3"/>
    <row r="1438" ht="20.05" customHeight="1" x14ac:dyDescent="0.3"/>
    <row r="1439" ht="20.05" customHeight="1" x14ac:dyDescent="0.3"/>
    <row r="1440" ht="20.05" customHeight="1" x14ac:dyDescent="0.3"/>
    <row r="1441" ht="20.05" customHeight="1" x14ac:dyDescent="0.3"/>
    <row r="1442" ht="20.05" customHeight="1" x14ac:dyDescent="0.3"/>
    <row r="1443" ht="20.05" customHeight="1" x14ac:dyDescent="0.3"/>
    <row r="1444" ht="20.05" customHeight="1" x14ac:dyDescent="0.3"/>
    <row r="1445" ht="20.05" customHeight="1" x14ac:dyDescent="0.3"/>
    <row r="1446" ht="20.05" customHeight="1" x14ac:dyDescent="0.3"/>
    <row r="1447" ht="20.05" customHeight="1" x14ac:dyDescent="0.3"/>
    <row r="1448" ht="20.05" customHeight="1" x14ac:dyDescent="0.3"/>
    <row r="1449" ht="20.05" customHeight="1" x14ac:dyDescent="0.3"/>
    <row r="1450" ht="20.05" customHeight="1" x14ac:dyDescent="0.3"/>
    <row r="1451" ht="20.05" customHeight="1" x14ac:dyDescent="0.3"/>
    <row r="1452" ht="20.05" customHeight="1" x14ac:dyDescent="0.3"/>
    <row r="1453" ht="20.05" customHeight="1" x14ac:dyDescent="0.3"/>
    <row r="1454" ht="20.05" customHeight="1" x14ac:dyDescent="0.3"/>
    <row r="1455" ht="20.05" customHeight="1" x14ac:dyDescent="0.3"/>
    <row r="1456" ht="20.05" customHeight="1" x14ac:dyDescent="0.3"/>
    <row r="1457" ht="20.05" customHeight="1" x14ac:dyDescent="0.3"/>
    <row r="1458" ht="20.05" customHeight="1" x14ac:dyDescent="0.3"/>
    <row r="1459" ht="20.05" customHeight="1" x14ac:dyDescent="0.3"/>
    <row r="1460" ht="20.05" customHeight="1" x14ac:dyDescent="0.3"/>
    <row r="1461" ht="20.05" customHeight="1" x14ac:dyDescent="0.3"/>
    <row r="1462" ht="20.05" customHeight="1" x14ac:dyDescent="0.3"/>
    <row r="1463" ht="20.05" customHeight="1" x14ac:dyDescent="0.3"/>
    <row r="1464" ht="20.05" customHeight="1" x14ac:dyDescent="0.3"/>
    <row r="1465" ht="20.05" customHeight="1" x14ac:dyDescent="0.3"/>
    <row r="1466" ht="20.05" customHeight="1" x14ac:dyDescent="0.3"/>
    <row r="1467" ht="20.05" customHeight="1" x14ac:dyDescent="0.3"/>
    <row r="1468" ht="20.05" customHeight="1" x14ac:dyDescent="0.3"/>
    <row r="1469" ht="20.05" customHeight="1" x14ac:dyDescent="0.3"/>
    <row r="1470" ht="20.05" customHeight="1" x14ac:dyDescent="0.3"/>
    <row r="1471" ht="20.05" customHeight="1" x14ac:dyDescent="0.3"/>
    <row r="1472" ht="20.05" customHeight="1" x14ac:dyDescent="0.3"/>
    <row r="1473" ht="20.05" customHeight="1" x14ac:dyDescent="0.3"/>
    <row r="1474" ht="20.05" customHeight="1" x14ac:dyDescent="0.3"/>
    <row r="1475" ht="20.05" customHeight="1" x14ac:dyDescent="0.3"/>
    <row r="1476" ht="20.05" customHeight="1" x14ac:dyDescent="0.3"/>
    <row r="1477" ht="20.05" customHeight="1" x14ac:dyDescent="0.3"/>
    <row r="1478" ht="20.05" customHeight="1" x14ac:dyDescent="0.3"/>
    <row r="1479" ht="20.05" customHeight="1" x14ac:dyDescent="0.3"/>
    <row r="1480" ht="20.05" customHeight="1" x14ac:dyDescent="0.3"/>
    <row r="1481" ht="20.05" customHeight="1" x14ac:dyDescent="0.3"/>
    <row r="1482" ht="20.05" customHeight="1" x14ac:dyDescent="0.3"/>
    <row r="1483" ht="20.05" customHeight="1" x14ac:dyDescent="0.3"/>
    <row r="1484" ht="20.05" customHeight="1" x14ac:dyDescent="0.3"/>
    <row r="1485" ht="20.05" customHeight="1" x14ac:dyDescent="0.3"/>
    <row r="1486" ht="20.05" customHeight="1" x14ac:dyDescent="0.3"/>
    <row r="1487" ht="20.05" customHeight="1" x14ac:dyDescent="0.3"/>
    <row r="1488" ht="20.05" customHeight="1" x14ac:dyDescent="0.3"/>
    <row r="1489" ht="20.05" customHeight="1" x14ac:dyDescent="0.3"/>
    <row r="1490" ht="20.05" customHeight="1" x14ac:dyDescent="0.3"/>
    <row r="1491" ht="20.05" customHeight="1" x14ac:dyDescent="0.3"/>
    <row r="1492" ht="20.05" customHeight="1" x14ac:dyDescent="0.3"/>
    <row r="1493" ht="20.05" customHeight="1" x14ac:dyDescent="0.3"/>
    <row r="1494" ht="20.05" customHeight="1" x14ac:dyDescent="0.3"/>
    <row r="1495" ht="20.05" customHeight="1" x14ac:dyDescent="0.3"/>
    <row r="1496" ht="20.05" customHeight="1" x14ac:dyDescent="0.3"/>
    <row r="1497" ht="20.05" customHeight="1" x14ac:dyDescent="0.3"/>
    <row r="1498" ht="20.05" customHeight="1" x14ac:dyDescent="0.3"/>
    <row r="1499" ht="20.05" customHeight="1" x14ac:dyDescent="0.3"/>
    <row r="1500" ht="20.05" customHeight="1" x14ac:dyDescent="0.3"/>
    <row r="1501" ht="20.05" customHeight="1" x14ac:dyDescent="0.3"/>
    <row r="1502" ht="20.05" customHeight="1" x14ac:dyDescent="0.3"/>
    <row r="1503" ht="20.05" customHeight="1" x14ac:dyDescent="0.3"/>
    <row r="1504" ht="20.05" customHeight="1" x14ac:dyDescent="0.3"/>
    <row r="1505" ht="20.05" customHeight="1" x14ac:dyDescent="0.3"/>
    <row r="1506" ht="20.05" customHeight="1" x14ac:dyDescent="0.3"/>
    <row r="1507" ht="20.05" customHeight="1" x14ac:dyDescent="0.3"/>
    <row r="1508" ht="20.05" customHeight="1" x14ac:dyDescent="0.3"/>
    <row r="1509" ht="20.05" customHeight="1" x14ac:dyDescent="0.3"/>
    <row r="1510" ht="20.05" customHeight="1" x14ac:dyDescent="0.3"/>
    <row r="1511" ht="20.05" customHeight="1" x14ac:dyDescent="0.3"/>
    <row r="1512" ht="20.05" customHeight="1" x14ac:dyDescent="0.3"/>
    <row r="1513" ht="20.05" customHeight="1" x14ac:dyDescent="0.3"/>
    <row r="1514" ht="20.05" customHeight="1" x14ac:dyDescent="0.3"/>
    <row r="1515" ht="20.05" customHeight="1" x14ac:dyDescent="0.3"/>
    <row r="1516" ht="20.05" customHeight="1" x14ac:dyDescent="0.3"/>
    <row r="1517" ht="20.05" customHeight="1" x14ac:dyDescent="0.3"/>
    <row r="1518" ht="20.05" customHeight="1" x14ac:dyDescent="0.3"/>
    <row r="1519" ht="20.05" customHeight="1" x14ac:dyDescent="0.3"/>
    <row r="1520" ht="20.05" customHeight="1" x14ac:dyDescent="0.3"/>
    <row r="1521" ht="20.05" customHeight="1" x14ac:dyDescent="0.3"/>
    <row r="1522" ht="20.05" customHeight="1" x14ac:dyDescent="0.3"/>
    <row r="1523" ht="20.05" customHeight="1" x14ac:dyDescent="0.3"/>
    <row r="1524" ht="20.05" customHeight="1" x14ac:dyDescent="0.3"/>
    <row r="1525" ht="20.05" customHeight="1" x14ac:dyDescent="0.3"/>
    <row r="1526" ht="20.05" customHeight="1" x14ac:dyDescent="0.3"/>
    <row r="1527" ht="20.05" customHeight="1" x14ac:dyDescent="0.3"/>
    <row r="1528" ht="20.05" customHeight="1" x14ac:dyDescent="0.3"/>
    <row r="1529" ht="20.05" customHeight="1" x14ac:dyDescent="0.3"/>
    <row r="1530" ht="20.05" customHeight="1" x14ac:dyDescent="0.3"/>
    <row r="1531" ht="20.05" customHeight="1" x14ac:dyDescent="0.3"/>
    <row r="1532" ht="20.05" customHeight="1" x14ac:dyDescent="0.3"/>
    <row r="1533" ht="20.05" customHeight="1" x14ac:dyDescent="0.3"/>
    <row r="1534" ht="20.05" customHeight="1" x14ac:dyDescent="0.3"/>
    <row r="1535" ht="20.05" customHeight="1" x14ac:dyDescent="0.3"/>
    <row r="1536" ht="20.05" customHeight="1" x14ac:dyDescent="0.3"/>
    <row r="1537" ht="20.05" customHeight="1" x14ac:dyDescent="0.3"/>
    <row r="1538" ht="20.05" customHeight="1" x14ac:dyDescent="0.3"/>
    <row r="1539" ht="20.05" customHeight="1" x14ac:dyDescent="0.3"/>
    <row r="1540" ht="20.05" customHeight="1" x14ac:dyDescent="0.3"/>
    <row r="1541" ht="20.05" customHeight="1" x14ac:dyDescent="0.3"/>
    <row r="1542" ht="20.05" customHeight="1" x14ac:dyDescent="0.3"/>
    <row r="1543" ht="20.05" customHeight="1" x14ac:dyDescent="0.3"/>
    <row r="1544" ht="20.05" customHeight="1" x14ac:dyDescent="0.3"/>
    <row r="1545" ht="20.05" customHeight="1" x14ac:dyDescent="0.3"/>
    <row r="1546" ht="20.05" customHeight="1" x14ac:dyDescent="0.3"/>
    <row r="1547" ht="20.05" customHeight="1" x14ac:dyDescent="0.3"/>
    <row r="1548" ht="20.05" customHeight="1" x14ac:dyDescent="0.3"/>
    <row r="1549" ht="20.05" customHeight="1" x14ac:dyDescent="0.3"/>
    <row r="1550" ht="20.05" customHeight="1" x14ac:dyDescent="0.3"/>
    <row r="1551" ht="20.05" customHeight="1" x14ac:dyDescent="0.3"/>
    <row r="1552" ht="20.05" customHeight="1" x14ac:dyDescent="0.3"/>
    <row r="1553" ht="20.05" customHeight="1" x14ac:dyDescent="0.3"/>
    <row r="1554" ht="20.05" customHeight="1" x14ac:dyDescent="0.3"/>
    <row r="1555" ht="20.05" customHeight="1" x14ac:dyDescent="0.3"/>
    <row r="1556" ht="20.05" customHeight="1" x14ac:dyDescent="0.3"/>
    <row r="1557" ht="20.05" customHeight="1" x14ac:dyDescent="0.3"/>
    <row r="1558" ht="20.05" customHeight="1" x14ac:dyDescent="0.3"/>
    <row r="1559" ht="20.05" customHeight="1" x14ac:dyDescent="0.3"/>
    <row r="1560" ht="20.05" customHeight="1" x14ac:dyDescent="0.3"/>
    <row r="1561" ht="20.05" customHeight="1" x14ac:dyDescent="0.3"/>
    <row r="1562" ht="20.05" customHeight="1" x14ac:dyDescent="0.3"/>
    <row r="1563" ht="20.05" customHeight="1" x14ac:dyDescent="0.3"/>
    <row r="1564" ht="20.05" customHeight="1" x14ac:dyDescent="0.3"/>
    <row r="1565" ht="20.05" customHeight="1" x14ac:dyDescent="0.3"/>
    <row r="1566" ht="20.05" customHeight="1" x14ac:dyDescent="0.3"/>
    <row r="1567" ht="20.05" customHeight="1" x14ac:dyDescent="0.3"/>
    <row r="1568" ht="20.05" customHeight="1" x14ac:dyDescent="0.3"/>
    <row r="1569" ht="20.05" customHeight="1" x14ac:dyDescent="0.3"/>
    <row r="1570" ht="20.05" customHeight="1" x14ac:dyDescent="0.3"/>
    <row r="1571" ht="20.05" customHeight="1" x14ac:dyDescent="0.3"/>
    <row r="1572" ht="20.05" customHeight="1" x14ac:dyDescent="0.3"/>
    <row r="1573" ht="20.05" customHeight="1" x14ac:dyDescent="0.3"/>
    <row r="1574" ht="20.05" customHeight="1" x14ac:dyDescent="0.3"/>
    <row r="1575" ht="20.05" customHeight="1" x14ac:dyDescent="0.3"/>
    <row r="1576" ht="20.05" customHeight="1" x14ac:dyDescent="0.3"/>
    <row r="1577" ht="20.05" customHeight="1" x14ac:dyDescent="0.3"/>
    <row r="1578" ht="20.05" customHeight="1" x14ac:dyDescent="0.3"/>
    <row r="1579" ht="20.05" customHeight="1" x14ac:dyDescent="0.3"/>
    <row r="1580" ht="20.05" customHeight="1" x14ac:dyDescent="0.3"/>
    <row r="1581" ht="20.05" customHeight="1" x14ac:dyDescent="0.3"/>
    <row r="1582" ht="20.05" customHeight="1" x14ac:dyDescent="0.3"/>
    <row r="1583" ht="20.05" customHeight="1" x14ac:dyDescent="0.3"/>
    <row r="1584" ht="20.05" customHeight="1" x14ac:dyDescent="0.3"/>
    <row r="1585" ht="20.05" customHeight="1" x14ac:dyDescent="0.3"/>
    <row r="1586" ht="20.05" customHeight="1" x14ac:dyDescent="0.3"/>
    <row r="1587" ht="20.05" customHeight="1" x14ac:dyDescent="0.3"/>
    <row r="1588" ht="20.05" customHeight="1" x14ac:dyDescent="0.3"/>
    <row r="1589" ht="20.05" customHeight="1" x14ac:dyDescent="0.3"/>
    <row r="1590" ht="20.05" customHeight="1" x14ac:dyDescent="0.3"/>
    <row r="1591" ht="20.05" customHeight="1" x14ac:dyDescent="0.3"/>
    <row r="1592" ht="20.05" customHeight="1" x14ac:dyDescent="0.3"/>
    <row r="1593" ht="20.05" customHeight="1" x14ac:dyDescent="0.3"/>
    <row r="1594" ht="20.05" customHeight="1" x14ac:dyDescent="0.3"/>
    <row r="1595" ht="20.05" customHeight="1" x14ac:dyDescent="0.3"/>
    <row r="1596" ht="20.05" customHeight="1" x14ac:dyDescent="0.3"/>
    <row r="1597" ht="20.05" customHeight="1" x14ac:dyDescent="0.3"/>
    <row r="1598" ht="20.05" customHeight="1" x14ac:dyDescent="0.3"/>
    <row r="1599" ht="20.05" customHeight="1" x14ac:dyDescent="0.3"/>
    <row r="1600" ht="20.05" customHeight="1" x14ac:dyDescent="0.3"/>
    <row r="1601" ht="20.05" customHeight="1" x14ac:dyDescent="0.3"/>
    <row r="1602" ht="20.05" customHeight="1" x14ac:dyDescent="0.3"/>
    <row r="1603" ht="20.05" customHeight="1" x14ac:dyDescent="0.3"/>
    <row r="1604" ht="20.05" customHeight="1" x14ac:dyDescent="0.3"/>
    <row r="1605" ht="20.05" customHeight="1" x14ac:dyDescent="0.3"/>
    <row r="1606" ht="20.05" customHeight="1" x14ac:dyDescent="0.3"/>
    <row r="1607" ht="20.05" customHeight="1" x14ac:dyDescent="0.3"/>
    <row r="1608" ht="20.05" customHeight="1" x14ac:dyDescent="0.3"/>
    <row r="1609" ht="20.05" customHeight="1" x14ac:dyDescent="0.3"/>
    <row r="1610" ht="20.05" customHeight="1" x14ac:dyDescent="0.3"/>
    <row r="1611" ht="20.05" customHeight="1" x14ac:dyDescent="0.3"/>
    <row r="1612" ht="20.05" customHeight="1" x14ac:dyDescent="0.3"/>
    <row r="1613" ht="20.05" customHeight="1" x14ac:dyDescent="0.3"/>
    <row r="1614" ht="20.05" customHeight="1" x14ac:dyDescent="0.3"/>
    <row r="1615" ht="20.05" customHeight="1" x14ac:dyDescent="0.3"/>
    <row r="1616" ht="20.05" customHeight="1" x14ac:dyDescent="0.3"/>
    <row r="1617" ht="20.05" customHeight="1" x14ac:dyDescent="0.3"/>
    <row r="1618" ht="20.05" customHeight="1" x14ac:dyDescent="0.3"/>
    <row r="1619" ht="20.05" customHeight="1" x14ac:dyDescent="0.3"/>
    <row r="1620" ht="20.05" customHeight="1" x14ac:dyDescent="0.3"/>
    <row r="1621" ht="20.05" customHeight="1" x14ac:dyDescent="0.3"/>
    <row r="1622" ht="20.05" customHeight="1" x14ac:dyDescent="0.3"/>
    <row r="1623" ht="20.05" customHeight="1" x14ac:dyDescent="0.3"/>
    <row r="1624" ht="20.05" customHeight="1" x14ac:dyDescent="0.3"/>
    <row r="1625" ht="20.05" customHeight="1" x14ac:dyDescent="0.3"/>
    <row r="1626" ht="20.05" customHeight="1" x14ac:dyDescent="0.3"/>
    <row r="1627" ht="20.05" customHeight="1" x14ac:dyDescent="0.3"/>
    <row r="1628" ht="20.05" customHeight="1" x14ac:dyDescent="0.3"/>
    <row r="1629" ht="20.05" customHeight="1" x14ac:dyDescent="0.3"/>
    <row r="1630" ht="20.05" customHeight="1" x14ac:dyDescent="0.3"/>
    <row r="1631" ht="20.05" customHeight="1" x14ac:dyDescent="0.3"/>
    <row r="1632" ht="20.05" customHeight="1" x14ac:dyDescent="0.3"/>
    <row r="1633" ht="20.05" customHeight="1" x14ac:dyDescent="0.3"/>
    <row r="1634" ht="20.05" customHeight="1" x14ac:dyDescent="0.3"/>
    <row r="1635" ht="20.05" customHeight="1" x14ac:dyDescent="0.3"/>
    <row r="1636" ht="20.05" customHeight="1" x14ac:dyDescent="0.3"/>
    <row r="1637" ht="20.05" customHeight="1" x14ac:dyDescent="0.3"/>
    <row r="1638" ht="20.05" customHeight="1" x14ac:dyDescent="0.3"/>
    <row r="1639" ht="20.05" customHeight="1" x14ac:dyDescent="0.3"/>
    <row r="1640" ht="20.05" customHeight="1" x14ac:dyDescent="0.3"/>
    <row r="1641" ht="20.05" customHeight="1" x14ac:dyDescent="0.3"/>
    <row r="1642" ht="20.05" customHeight="1" x14ac:dyDescent="0.3"/>
    <row r="1643" ht="20.05" customHeight="1" x14ac:dyDescent="0.3"/>
    <row r="1644" ht="20.05" customHeight="1" x14ac:dyDescent="0.3"/>
    <row r="1645" ht="20.05" customHeight="1" x14ac:dyDescent="0.3"/>
    <row r="1646" ht="20.05" customHeight="1" x14ac:dyDescent="0.3"/>
    <row r="1647" ht="20.05" customHeight="1" x14ac:dyDescent="0.3"/>
    <row r="1648" ht="20.05" customHeight="1" x14ac:dyDescent="0.3"/>
    <row r="1649" ht="20.05" customHeight="1" x14ac:dyDescent="0.3"/>
    <row r="1650" ht="20.05" customHeight="1" x14ac:dyDescent="0.3"/>
    <row r="1651" ht="20.05" customHeight="1" x14ac:dyDescent="0.3"/>
    <row r="1652" ht="20.05" customHeight="1" x14ac:dyDescent="0.3"/>
    <row r="1653" ht="20.05" customHeight="1" x14ac:dyDescent="0.3"/>
    <row r="1654" ht="20.05" customHeight="1" x14ac:dyDescent="0.3"/>
    <row r="1655" ht="20.05" customHeight="1" x14ac:dyDescent="0.3"/>
    <row r="1656" ht="20.05" customHeight="1" x14ac:dyDescent="0.3"/>
    <row r="1657" ht="20.05" customHeight="1" x14ac:dyDescent="0.3"/>
    <row r="1658" ht="20.05" customHeight="1" x14ac:dyDescent="0.3"/>
    <row r="1659" ht="20.05" customHeight="1" x14ac:dyDescent="0.3"/>
    <row r="1660" ht="20.05" customHeight="1" x14ac:dyDescent="0.3"/>
    <row r="1661" ht="20.05" customHeight="1" x14ac:dyDescent="0.3"/>
    <row r="1662" ht="20.05" customHeight="1" x14ac:dyDescent="0.3"/>
    <row r="1663" ht="20.05" customHeight="1" x14ac:dyDescent="0.3"/>
    <row r="1664" ht="20.05" customHeight="1" x14ac:dyDescent="0.3"/>
    <row r="1665" ht="20.05" customHeight="1" x14ac:dyDescent="0.3"/>
    <row r="1666" ht="20.05" customHeight="1" x14ac:dyDescent="0.3"/>
    <row r="1667" ht="20.05" customHeight="1" x14ac:dyDescent="0.3"/>
    <row r="1668" ht="20.05" customHeight="1" x14ac:dyDescent="0.3"/>
    <row r="1669" ht="20.05" customHeight="1" x14ac:dyDescent="0.3"/>
    <row r="1670" ht="20.05" customHeight="1" x14ac:dyDescent="0.3"/>
    <row r="1671" ht="20.05" customHeight="1" x14ac:dyDescent="0.3"/>
    <row r="1672" ht="20.05" customHeight="1" x14ac:dyDescent="0.3"/>
    <row r="1673" ht="20.05" customHeight="1" x14ac:dyDescent="0.3"/>
    <row r="1674" ht="20.05" customHeight="1" x14ac:dyDescent="0.3"/>
    <row r="1675" ht="20.05" customHeight="1" x14ac:dyDescent="0.3"/>
    <row r="1676" ht="20.05" customHeight="1" x14ac:dyDescent="0.3"/>
    <row r="1677" ht="20.05" customHeight="1" x14ac:dyDescent="0.3"/>
    <row r="1678" ht="20.05" customHeight="1" x14ac:dyDescent="0.3"/>
    <row r="1679" ht="20.05" customHeight="1" x14ac:dyDescent="0.3"/>
    <row r="1680" ht="20.05" customHeight="1" x14ac:dyDescent="0.3"/>
    <row r="1681" ht="20.05" customHeight="1" x14ac:dyDescent="0.3"/>
    <row r="1682" ht="20.05" customHeight="1" x14ac:dyDescent="0.3"/>
    <row r="1683" ht="20.05" customHeight="1" x14ac:dyDescent="0.3"/>
    <row r="1684" ht="20.05" customHeight="1" x14ac:dyDescent="0.3"/>
    <row r="1685" ht="20.05" customHeight="1" x14ac:dyDescent="0.3"/>
    <row r="1686" ht="20.05" customHeight="1" x14ac:dyDescent="0.3"/>
    <row r="1687" ht="20.05" customHeight="1" x14ac:dyDescent="0.3"/>
    <row r="1688" ht="20.05" customHeight="1" x14ac:dyDescent="0.3"/>
    <row r="1689" ht="20.05" customHeight="1" x14ac:dyDescent="0.3"/>
    <row r="1690" ht="20.05" customHeight="1" x14ac:dyDescent="0.3"/>
    <row r="1691" ht="20.05" customHeight="1" x14ac:dyDescent="0.3"/>
    <row r="1692" ht="20.05" customHeight="1" x14ac:dyDescent="0.3"/>
    <row r="1693" ht="20.05" customHeight="1" x14ac:dyDescent="0.3"/>
    <row r="1694" ht="20.05" customHeight="1" x14ac:dyDescent="0.3"/>
    <row r="1695" ht="20.05" customHeight="1" x14ac:dyDescent="0.3"/>
    <row r="1696" ht="20.05" customHeight="1" x14ac:dyDescent="0.3"/>
    <row r="1697" ht="20.05" customHeight="1" x14ac:dyDescent="0.3"/>
    <row r="1698" ht="20.05" customHeight="1" x14ac:dyDescent="0.3"/>
    <row r="1699" ht="20.05" customHeight="1" x14ac:dyDescent="0.3"/>
    <row r="1700" ht="20.05" customHeight="1" x14ac:dyDescent="0.3"/>
    <row r="1701" ht="20.05" customHeight="1" x14ac:dyDescent="0.3"/>
    <row r="1702" ht="20.05" customHeight="1" x14ac:dyDescent="0.3"/>
    <row r="1703" ht="20.05" customHeight="1" x14ac:dyDescent="0.3"/>
    <row r="1704" ht="20.05" customHeight="1" x14ac:dyDescent="0.3"/>
    <row r="1705" ht="20.05" customHeight="1" x14ac:dyDescent="0.3"/>
    <row r="1706" ht="20.05" customHeight="1" x14ac:dyDescent="0.3"/>
    <row r="1707" ht="20.05" customHeight="1" x14ac:dyDescent="0.3"/>
    <row r="1708" ht="20.05" customHeight="1" x14ac:dyDescent="0.3"/>
    <row r="1709" ht="20.05" customHeight="1" x14ac:dyDescent="0.3"/>
    <row r="1710" ht="20.05" customHeight="1" x14ac:dyDescent="0.3"/>
    <row r="1711" ht="20.05" customHeight="1" x14ac:dyDescent="0.3"/>
    <row r="1712" ht="20.05" customHeight="1" x14ac:dyDescent="0.3"/>
    <row r="1713" ht="20.05" customHeight="1" x14ac:dyDescent="0.3"/>
    <row r="1714" ht="20.05" customHeight="1" x14ac:dyDescent="0.3"/>
    <row r="1715" ht="20.05" customHeight="1" x14ac:dyDescent="0.3"/>
    <row r="1716" ht="20.05" customHeight="1" x14ac:dyDescent="0.3"/>
    <row r="1717" ht="20.05" customHeight="1" x14ac:dyDescent="0.3"/>
    <row r="1718" ht="20.05" customHeight="1" x14ac:dyDescent="0.3"/>
    <row r="1719" ht="20.05" customHeight="1" x14ac:dyDescent="0.3"/>
    <row r="1720" ht="20.05" customHeight="1" x14ac:dyDescent="0.3"/>
    <row r="1721" ht="20.05" customHeight="1" x14ac:dyDescent="0.3"/>
    <row r="1722" ht="20.05" customHeight="1" x14ac:dyDescent="0.3"/>
    <row r="1723" ht="20.05" customHeight="1" x14ac:dyDescent="0.3"/>
    <row r="1724" ht="20.05" customHeight="1" x14ac:dyDescent="0.3"/>
    <row r="1725" ht="20.05" customHeight="1" x14ac:dyDescent="0.3"/>
    <row r="1726" ht="20.05" customHeight="1" x14ac:dyDescent="0.3"/>
    <row r="1727" ht="20.05" customHeight="1" x14ac:dyDescent="0.3"/>
    <row r="1728" ht="20.05" customHeight="1" x14ac:dyDescent="0.3"/>
    <row r="1729" ht="20.05" customHeight="1" x14ac:dyDescent="0.3"/>
    <row r="1730" ht="20.05" customHeight="1" x14ac:dyDescent="0.3"/>
    <row r="1731" ht="20.05" customHeight="1" x14ac:dyDescent="0.3"/>
    <row r="1732" ht="20.05" customHeight="1" x14ac:dyDescent="0.3"/>
    <row r="1733" ht="20.05" customHeight="1" x14ac:dyDescent="0.3"/>
    <row r="1734" ht="20.05" customHeight="1" x14ac:dyDescent="0.3"/>
    <row r="1735" ht="20.05" customHeight="1" x14ac:dyDescent="0.3"/>
    <row r="1736" ht="20.05" customHeight="1" x14ac:dyDescent="0.3"/>
    <row r="1737" ht="20.05" customHeight="1" x14ac:dyDescent="0.3"/>
    <row r="1738" ht="20.05" customHeight="1" x14ac:dyDescent="0.3"/>
    <row r="1739" ht="20.05" customHeight="1" x14ac:dyDescent="0.3"/>
    <row r="1740" ht="20.05" customHeight="1" x14ac:dyDescent="0.3"/>
    <row r="1741" ht="20.05" customHeight="1" x14ac:dyDescent="0.3"/>
    <row r="1742" ht="20.05" customHeight="1" x14ac:dyDescent="0.3"/>
    <row r="1743" ht="20.05" customHeight="1" x14ac:dyDescent="0.3"/>
    <row r="1744" ht="20.05" customHeight="1" x14ac:dyDescent="0.3"/>
    <row r="1745" ht="20.05" customHeight="1" x14ac:dyDescent="0.3"/>
    <row r="1746" ht="20.05" customHeight="1" x14ac:dyDescent="0.3"/>
    <row r="1747" ht="20.05" customHeight="1" x14ac:dyDescent="0.3"/>
    <row r="1748" ht="20.05" customHeight="1" x14ac:dyDescent="0.3"/>
    <row r="1749" ht="20.05" customHeight="1" x14ac:dyDescent="0.3"/>
    <row r="1750" ht="20.05" customHeight="1" x14ac:dyDescent="0.3"/>
    <row r="1751" ht="20.05" customHeight="1" x14ac:dyDescent="0.3"/>
    <row r="1752" ht="20.05" customHeight="1" x14ac:dyDescent="0.3"/>
    <row r="1753" ht="20.05" customHeight="1" x14ac:dyDescent="0.3"/>
    <row r="1754" ht="20.05" customHeight="1" x14ac:dyDescent="0.3"/>
    <row r="1755" ht="20.05" customHeight="1" x14ac:dyDescent="0.3"/>
    <row r="1756" ht="20.05" customHeight="1" x14ac:dyDescent="0.3"/>
    <row r="1757" ht="20.05" customHeight="1" x14ac:dyDescent="0.3"/>
    <row r="1758" ht="20.05" customHeight="1" x14ac:dyDescent="0.3"/>
    <row r="1759" ht="20.05" customHeight="1" x14ac:dyDescent="0.3"/>
    <row r="1760" ht="20.05" customHeight="1" x14ac:dyDescent="0.3"/>
    <row r="1761" ht="20.05" customHeight="1" x14ac:dyDescent="0.3"/>
    <row r="1762" ht="20.05" customHeight="1" x14ac:dyDescent="0.3"/>
    <row r="1763" ht="20.05" customHeight="1" x14ac:dyDescent="0.3"/>
    <row r="1764" ht="20.05" customHeight="1" x14ac:dyDescent="0.3"/>
    <row r="1765" ht="20.05" customHeight="1" x14ac:dyDescent="0.3"/>
    <row r="1766" ht="20.05" customHeight="1" x14ac:dyDescent="0.3"/>
    <row r="1767" ht="20.05" customHeight="1" x14ac:dyDescent="0.3"/>
    <row r="1768" ht="20.05" customHeight="1" x14ac:dyDescent="0.3"/>
    <row r="1769" ht="20.05" customHeight="1" x14ac:dyDescent="0.3"/>
    <row r="1770" ht="20.05" customHeight="1" x14ac:dyDescent="0.3"/>
    <row r="1771" ht="20.05" customHeight="1" x14ac:dyDescent="0.3"/>
    <row r="1772" ht="20.05" customHeight="1" x14ac:dyDescent="0.3"/>
    <row r="1773" ht="20.05" customHeight="1" x14ac:dyDescent="0.3"/>
    <row r="1774" ht="20.05" customHeight="1" x14ac:dyDescent="0.3"/>
    <row r="1775" ht="20.05" customHeight="1" x14ac:dyDescent="0.3"/>
    <row r="1776" ht="20.05" customHeight="1" x14ac:dyDescent="0.3"/>
    <row r="1777" ht="20.05" customHeight="1" x14ac:dyDescent="0.3"/>
    <row r="1778" ht="20.05" customHeight="1" x14ac:dyDescent="0.3"/>
    <row r="1779" ht="20.05" customHeight="1" x14ac:dyDescent="0.3"/>
    <row r="1780" ht="20.05" customHeight="1" x14ac:dyDescent="0.3"/>
    <row r="1781" ht="20.05" customHeight="1" x14ac:dyDescent="0.3"/>
    <row r="1782" ht="20.05" customHeight="1" x14ac:dyDescent="0.3"/>
    <row r="1783" ht="20.05" customHeight="1" x14ac:dyDescent="0.3"/>
    <row r="1784" ht="20.05" customHeight="1" x14ac:dyDescent="0.3"/>
    <row r="1785" ht="20.05" customHeight="1" x14ac:dyDescent="0.3"/>
    <row r="1786" ht="20.05" customHeight="1" x14ac:dyDescent="0.3"/>
    <row r="1787" ht="20.05" customHeight="1" x14ac:dyDescent="0.3"/>
    <row r="1788" ht="20.05" customHeight="1" x14ac:dyDescent="0.3"/>
    <row r="1789" ht="20.05" customHeight="1" x14ac:dyDescent="0.3"/>
    <row r="1790" ht="20.05" customHeight="1" x14ac:dyDescent="0.3"/>
    <row r="1791" ht="20.05" customHeight="1" x14ac:dyDescent="0.3"/>
    <row r="1792" ht="20.05" customHeight="1" x14ac:dyDescent="0.3"/>
    <row r="1793" ht="20.05" customHeight="1" x14ac:dyDescent="0.3"/>
    <row r="1794" ht="20.05" customHeight="1" x14ac:dyDescent="0.3"/>
    <row r="1795" ht="20.05" customHeight="1" x14ac:dyDescent="0.3"/>
    <row r="1796" ht="20.05" customHeight="1" x14ac:dyDescent="0.3"/>
    <row r="1797" ht="20.05" customHeight="1" x14ac:dyDescent="0.3"/>
    <row r="1798" ht="20.05" customHeight="1" x14ac:dyDescent="0.3"/>
    <row r="1799" ht="20.05" customHeight="1" x14ac:dyDescent="0.3"/>
    <row r="1800" ht="20.05" customHeight="1" x14ac:dyDescent="0.3"/>
    <row r="1801" ht="20.05" customHeight="1" x14ac:dyDescent="0.3"/>
    <row r="1802" ht="20.05" customHeight="1" x14ac:dyDescent="0.3"/>
    <row r="1803" ht="20.05" customHeight="1" x14ac:dyDescent="0.3"/>
    <row r="1804" ht="20.05" customHeight="1" x14ac:dyDescent="0.3"/>
    <row r="1805" ht="20.05" customHeight="1" x14ac:dyDescent="0.3"/>
    <row r="1806" ht="20.05" customHeight="1" x14ac:dyDescent="0.3"/>
    <row r="1807" ht="20.05" customHeight="1" x14ac:dyDescent="0.3"/>
    <row r="1808" ht="20.05" customHeight="1" x14ac:dyDescent="0.3"/>
    <row r="1809" ht="20.05" customHeight="1" x14ac:dyDescent="0.3"/>
    <row r="1810" ht="20.05" customHeight="1" x14ac:dyDescent="0.3"/>
    <row r="1811" ht="20.05" customHeight="1" x14ac:dyDescent="0.3"/>
    <row r="1812" ht="20.05" customHeight="1" x14ac:dyDescent="0.3"/>
    <row r="1813" ht="20.05" customHeight="1" x14ac:dyDescent="0.3"/>
    <row r="1814" ht="20.05" customHeight="1" x14ac:dyDescent="0.3"/>
    <row r="1815" ht="20.05" customHeight="1" x14ac:dyDescent="0.3"/>
    <row r="1816" ht="20.05" customHeight="1" x14ac:dyDescent="0.3"/>
    <row r="1817" ht="20.05" customHeight="1" x14ac:dyDescent="0.3"/>
    <row r="1818" ht="20.05" customHeight="1" x14ac:dyDescent="0.3"/>
    <row r="1819" ht="20.05" customHeight="1" x14ac:dyDescent="0.3"/>
    <row r="1820" ht="20.05" customHeight="1" x14ac:dyDescent="0.3"/>
    <row r="1821" ht="20.05" customHeight="1" x14ac:dyDescent="0.3"/>
    <row r="1822" ht="20.05" customHeight="1" x14ac:dyDescent="0.3"/>
    <row r="1823" ht="20.05" customHeight="1" x14ac:dyDescent="0.3"/>
    <row r="1824" ht="20.05" customHeight="1" x14ac:dyDescent="0.3"/>
    <row r="1825" ht="20.05" customHeight="1" x14ac:dyDescent="0.3"/>
    <row r="1826" ht="20.05" customHeight="1" x14ac:dyDescent="0.3"/>
    <row r="1827" ht="20.05" customHeight="1" x14ac:dyDescent="0.3"/>
    <row r="1828" ht="20.05" customHeight="1" x14ac:dyDescent="0.3"/>
    <row r="1829" ht="20.05" customHeight="1" x14ac:dyDescent="0.3"/>
    <row r="1830" ht="20.05" customHeight="1" x14ac:dyDescent="0.3"/>
    <row r="1831" ht="20.05" customHeight="1" x14ac:dyDescent="0.3"/>
    <row r="1832" ht="20.05" customHeight="1" x14ac:dyDescent="0.3"/>
    <row r="1833" ht="20.05" customHeight="1" x14ac:dyDescent="0.3"/>
    <row r="1834" ht="20.05" customHeight="1" x14ac:dyDescent="0.3"/>
    <row r="1835" ht="20.05" customHeight="1" x14ac:dyDescent="0.3"/>
    <row r="1836" ht="20.05" customHeight="1" x14ac:dyDescent="0.3"/>
    <row r="1837" ht="20.05" customHeight="1" x14ac:dyDescent="0.3"/>
    <row r="1838" ht="20.05" customHeight="1" x14ac:dyDescent="0.3"/>
    <row r="1839" ht="20.05" customHeight="1" x14ac:dyDescent="0.3"/>
    <row r="1840" ht="20.05" customHeight="1" x14ac:dyDescent="0.3"/>
    <row r="1841" ht="20.05" customHeight="1" x14ac:dyDescent="0.3"/>
    <row r="1842" ht="20.05" customHeight="1" x14ac:dyDescent="0.3"/>
    <row r="1843" ht="20.05" customHeight="1" x14ac:dyDescent="0.3"/>
    <row r="1844" ht="20.05" customHeight="1" x14ac:dyDescent="0.3"/>
    <row r="1845" ht="20.05" customHeight="1" x14ac:dyDescent="0.3"/>
    <row r="1846" ht="20.05" customHeight="1" x14ac:dyDescent="0.3"/>
    <row r="1847" ht="20.05" customHeight="1" x14ac:dyDescent="0.3"/>
    <row r="1848" ht="20.05" customHeight="1" x14ac:dyDescent="0.3"/>
    <row r="1849" ht="20.05" customHeight="1" x14ac:dyDescent="0.3"/>
    <row r="1850" ht="20.05" customHeight="1" x14ac:dyDescent="0.3"/>
    <row r="1851" ht="20.05" customHeight="1" x14ac:dyDescent="0.3"/>
    <row r="1852" ht="20.05" customHeight="1" x14ac:dyDescent="0.3"/>
    <row r="1853" ht="20.05" customHeight="1" x14ac:dyDescent="0.3"/>
    <row r="1854" ht="20.05" customHeight="1" x14ac:dyDescent="0.3"/>
    <row r="1855" ht="20.05" customHeight="1" x14ac:dyDescent="0.3"/>
    <row r="1856" ht="20.05" customHeight="1" x14ac:dyDescent="0.3"/>
    <row r="1857" ht="20.05" customHeight="1" x14ac:dyDescent="0.3"/>
    <row r="1858" ht="20.05" customHeight="1" x14ac:dyDescent="0.3"/>
    <row r="1859" ht="20.05" customHeight="1" x14ac:dyDescent="0.3"/>
    <row r="1860" ht="20.05" customHeight="1" x14ac:dyDescent="0.3"/>
    <row r="1861" ht="20.05" customHeight="1" x14ac:dyDescent="0.3"/>
    <row r="1862" ht="20.05" customHeight="1" x14ac:dyDescent="0.3"/>
    <row r="1863" ht="20.05" customHeight="1" x14ac:dyDescent="0.3"/>
    <row r="1864" ht="20.05" customHeight="1" x14ac:dyDescent="0.3"/>
    <row r="1865" ht="20.05" customHeight="1" x14ac:dyDescent="0.3"/>
    <row r="1866" ht="20.05" customHeight="1" x14ac:dyDescent="0.3"/>
    <row r="1867" ht="20.05" customHeight="1" x14ac:dyDescent="0.3"/>
    <row r="1868" ht="20.05" customHeight="1" x14ac:dyDescent="0.3"/>
    <row r="1869" ht="20.05" customHeight="1" x14ac:dyDescent="0.3"/>
    <row r="1870" ht="20.05" customHeight="1" x14ac:dyDescent="0.3"/>
    <row r="1871" ht="20.05" customHeight="1" x14ac:dyDescent="0.3"/>
    <row r="1872" ht="20.05" customHeight="1" x14ac:dyDescent="0.3"/>
    <row r="1873" ht="20.05" customHeight="1" x14ac:dyDescent="0.3"/>
    <row r="1874" ht="20.05" customHeight="1" x14ac:dyDescent="0.3"/>
    <row r="1875" ht="20.05" customHeight="1" x14ac:dyDescent="0.3"/>
    <row r="1876" ht="20.05" customHeight="1" x14ac:dyDescent="0.3"/>
    <row r="1877" ht="20.05" customHeight="1" x14ac:dyDescent="0.3"/>
    <row r="1878" ht="20.05" customHeight="1" x14ac:dyDescent="0.3"/>
    <row r="1879" ht="20.05" customHeight="1" x14ac:dyDescent="0.3"/>
    <row r="1880" ht="20.05" customHeight="1" x14ac:dyDescent="0.3"/>
    <row r="1881" ht="20.05" customHeight="1" x14ac:dyDescent="0.3"/>
    <row r="1882" ht="20.05" customHeight="1" x14ac:dyDescent="0.3"/>
    <row r="1883" ht="20.05" customHeight="1" x14ac:dyDescent="0.3"/>
    <row r="1884" ht="20.05" customHeight="1" x14ac:dyDescent="0.3"/>
    <row r="1885" ht="20.05" customHeight="1" x14ac:dyDescent="0.3"/>
    <row r="1886" ht="20.05" customHeight="1" x14ac:dyDescent="0.3"/>
    <row r="1887" ht="20.05" customHeight="1" x14ac:dyDescent="0.3"/>
    <row r="1888" ht="20.05" customHeight="1" x14ac:dyDescent="0.3"/>
    <row r="1889" ht="20.05" customHeight="1" x14ac:dyDescent="0.3"/>
    <row r="1890" ht="20.05" customHeight="1" x14ac:dyDescent="0.3"/>
    <row r="1891" ht="20.05" customHeight="1" x14ac:dyDescent="0.3"/>
    <row r="1892" ht="20.05" customHeight="1" x14ac:dyDescent="0.3"/>
    <row r="1893" ht="20.05" customHeight="1" x14ac:dyDescent="0.3"/>
    <row r="1894" ht="20.05" customHeight="1" x14ac:dyDescent="0.3"/>
    <row r="1895" ht="20.05" customHeight="1" x14ac:dyDescent="0.3"/>
    <row r="1896" ht="20.05" customHeight="1" x14ac:dyDescent="0.3"/>
    <row r="1897" ht="20.05" customHeight="1" x14ac:dyDescent="0.3"/>
    <row r="1898" ht="20.05" customHeight="1" x14ac:dyDescent="0.3"/>
    <row r="1899" ht="20.05" customHeight="1" x14ac:dyDescent="0.3"/>
    <row r="1900" ht="20.05" customHeight="1" x14ac:dyDescent="0.3"/>
    <row r="1901" ht="20.05" customHeight="1" x14ac:dyDescent="0.3"/>
    <row r="1902" ht="20.05" customHeight="1" x14ac:dyDescent="0.3"/>
    <row r="1903" ht="20.05" customHeight="1" x14ac:dyDescent="0.3"/>
    <row r="1904" ht="20.05" customHeight="1" x14ac:dyDescent="0.3"/>
    <row r="1905" ht="20.05" customHeight="1" x14ac:dyDescent="0.3"/>
    <row r="1906" ht="20.05" customHeight="1" x14ac:dyDescent="0.3"/>
    <row r="1907" ht="20.05" customHeight="1" x14ac:dyDescent="0.3"/>
    <row r="1908" ht="20.05" customHeight="1" x14ac:dyDescent="0.3"/>
    <row r="1909" ht="20.05" customHeight="1" x14ac:dyDescent="0.3"/>
    <row r="1910" ht="20.05" customHeight="1" x14ac:dyDescent="0.3"/>
    <row r="1911" ht="20.05" customHeight="1" x14ac:dyDescent="0.3"/>
    <row r="1912" ht="20.05" customHeight="1" x14ac:dyDescent="0.3"/>
    <row r="1913" ht="20.05" customHeight="1" x14ac:dyDescent="0.3"/>
    <row r="1914" ht="20.05" customHeight="1" x14ac:dyDescent="0.3"/>
    <row r="1915" ht="20.05" customHeight="1" x14ac:dyDescent="0.3"/>
    <row r="1916" ht="20.05" customHeight="1" x14ac:dyDescent="0.3"/>
    <row r="1917" ht="20.05" customHeight="1" x14ac:dyDescent="0.3"/>
    <row r="1918" ht="20.05" customHeight="1" x14ac:dyDescent="0.3"/>
    <row r="1919" ht="20.05" customHeight="1" x14ac:dyDescent="0.3"/>
    <row r="1920" ht="20.05" customHeight="1" x14ac:dyDescent="0.3"/>
    <row r="1921" ht="20.05" customHeight="1" x14ac:dyDescent="0.3"/>
    <row r="1922" ht="20.05" customHeight="1" x14ac:dyDescent="0.3"/>
    <row r="1923" ht="20.05" customHeight="1" x14ac:dyDescent="0.3"/>
    <row r="1924" ht="20.05" customHeight="1" x14ac:dyDescent="0.3"/>
    <row r="1925" ht="20.05" customHeight="1" x14ac:dyDescent="0.3"/>
    <row r="1926" ht="20.05" customHeight="1" x14ac:dyDescent="0.3"/>
    <row r="1927" ht="20.05" customHeight="1" x14ac:dyDescent="0.3"/>
    <row r="1928" ht="20.05" customHeight="1" x14ac:dyDescent="0.3"/>
    <row r="1929" ht="20.05" customHeight="1" x14ac:dyDescent="0.3"/>
    <row r="1930" ht="20.05" customHeight="1" x14ac:dyDescent="0.3"/>
    <row r="1931" ht="20.05" customHeight="1" x14ac:dyDescent="0.3"/>
    <row r="1932" ht="20.05" customHeight="1" x14ac:dyDescent="0.3"/>
    <row r="1933" ht="20.05" customHeight="1" x14ac:dyDescent="0.3"/>
    <row r="1934" ht="20.05" customHeight="1" x14ac:dyDescent="0.3"/>
    <row r="1935" ht="20.05" customHeight="1" x14ac:dyDescent="0.3"/>
    <row r="1936" ht="20.05" customHeight="1" x14ac:dyDescent="0.3"/>
    <row r="1937" ht="20.05" customHeight="1" x14ac:dyDescent="0.3"/>
    <row r="1938" ht="20.05" customHeight="1" x14ac:dyDescent="0.3"/>
    <row r="1939" ht="20.05" customHeight="1" x14ac:dyDescent="0.3"/>
    <row r="1940" ht="20.05" customHeight="1" x14ac:dyDescent="0.3"/>
    <row r="1941" ht="20.05" customHeight="1" x14ac:dyDescent="0.3"/>
    <row r="1942" ht="20.05" customHeight="1" x14ac:dyDescent="0.3"/>
    <row r="1943" ht="20.05" customHeight="1" x14ac:dyDescent="0.3"/>
    <row r="1944" ht="20.05" customHeight="1" x14ac:dyDescent="0.3"/>
    <row r="1945" ht="20.05" customHeight="1" x14ac:dyDescent="0.3"/>
    <row r="1946" ht="20.05" customHeight="1" x14ac:dyDescent="0.3"/>
    <row r="1947" ht="20.05" customHeight="1" x14ac:dyDescent="0.3"/>
    <row r="1948" ht="20.05" customHeight="1" x14ac:dyDescent="0.3"/>
    <row r="1949" ht="20.05" customHeight="1" x14ac:dyDescent="0.3"/>
    <row r="1950" ht="20.05" customHeight="1" x14ac:dyDescent="0.3"/>
    <row r="1951" ht="20.05" customHeight="1" x14ac:dyDescent="0.3"/>
    <row r="1952" ht="20.05" customHeight="1" x14ac:dyDescent="0.3"/>
    <row r="1953" ht="20.05" customHeight="1" x14ac:dyDescent="0.3"/>
    <row r="1954" ht="20.05" customHeight="1" x14ac:dyDescent="0.3"/>
    <row r="1955" ht="20.05" customHeight="1" x14ac:dyDescent="0.3"/>
    <row r="1956" ht="20.05" customHeight="1" x14ac:dyDescent="0.3"/>
    <row r="1957" ht="20.05" customHeight="1" x14ac:dyDescent="0.3"/>
    <row r="1958" ht="20.05" customHeight="1" x14ac:dyDescent="0.3"/>
    <row r="1959" ht="20.05" customHeight="1" x14ac:dyDescent="0.3"/>
    <row r="1960" ht="20.05" customHeight="1" x14ac:dyDescent="0.3"/>
    <row r="1961" ht="20.05" customHeight="1" x14ac:dyDescent="0.3"/>
    <row r="1962" ht="20.05" customHeight="1" x14ac:dyDescent="0.3"/>
    <row r="1963" ht="20.05" customHeight="1" x14ac:dyDescent="0.3"/>
    <row r="1964" ht="20.05" customHeight="1" x14ac:dyDescent="0.3"/>
    <row r="1965" ht="20.05" customHeight="1" x14ac:dyDescent="0.3"/>
    <row r="1966" ht="20.05" customHeight="1" x14ac:dyDescent="0.3"/>
    <row r="1967" ht="20.05" customHeight="1" x14ac:dyDescent="0.3"/>
    <row r="1968" ht="20.05" customHeight="1" x14ac:dyDescent="0.3"/>
    <row r="1969" ht="20.05" customHeight="1" x14ac:dyDescent="0.3"/>
    <row r="1970" ht="20.05" customHeight="1" x14ac:dyDescent="0.3"/>
    <row r="1971" ht="20.05" customHeight="1" x14ac:dyDescent="0.3"/>
    <row r="1972" ht="20.05" customHeight="1" x14ac:dyDescent="0.3"/>
    <row r="1973" ht="20.05" customHeight="1" x14ac:dyDescent="0.3"/>
    <row r="1974" ht="20.05" customHeight="1" x14ac:dyDescent="0.3"/>
    <row r="1975" ht="20.05" customHeight="1" x14ac:dyDescent="0.3"/>
    <row r="1976" ht="20.05" customHeight="1" x14ac:dyDescent="0.3"/>
    <row r="1977" ht="20.05" customHeight="1" x14ac:dyDescent="0.3"/>
    <row r="1978" ht="20.05" customHeight="1" x14ac:dyDescent="0.3"/>
    <row r="1979" ht="20.05" customHeight="1" x14ac:dyDescent="0.3"/>
    <row r="1980" ht="20.05" customHeight="1" x14ac:dyDescent="0.3"/>
    <row r="1981" ht="20.05" customHeight="1" x14ac:dyDescent="0.3"/>
    <row r="1982" ht="20.05" customHeight="1" x14ac:dyDescent="0.3"/>
    <row r="1983" ht="20.05" customHeight="1" x14ac:dyDescent="0.3"/>
    <row r="1984" ht="20.05" customHeight="1" x14ac:dyDescent="0.3"/>
    <row r="1985" ht="20.05" customHeight="1" x14ac:dyDescent="0.3"/>
    <row r="1986" ht="20.05" customHeight="1" x14ac:dyDescent="0.3"/>
    <row r="1987" ht="20.05" customHeight="1" x14ac:dyDescent="0.3"/>
    <row r="1988" ht="20.05" customHeight="1" x14ac:dyDescent="0.3"/>
    <row r="1989" ht="20.05" customHeight="1" x14ac:dyDescent="0.3"/>
    <row r="1990" ht="20.05" customHeight="1" x14ac:dyDescent="0.3"/>
    <row r="1991" ht="20.05" customHeight="1" x14ac:dyDescent="0.3"/>
    <row r="1992" ht="20.05" customHeight="1" x14ac:dyDescent="0.3"/>
    <row r="1993" ht="20.05" customHeight="1" x14ac:dyDescent="0.3"/>
    <row r="1994" ht="20.05" customHeight="1" x14ac:dyDescent="0.3"/>
    <row r="1995" ht="20.05" customHeight="1" x14ac:dyDescent="0.3"/>
    <row r="1996" ht="20.05" customHeight="1" x14ac:dyDescent="0.3"/>
    <row r="1997" ht="20.05" customHeight="1" x14ac:dyDescent="0.3"/>
    <row r="1998" ht="20.05" customHeight="1" x14ac:dyDescent="0.3"/>
    <row r="1999" ht="20.05" customHeight="1" x14ac:dyDescent="0.3"/>
    <row r="2000" ht="20.05" customHeight="1" x14ac:dyDescent="0.3"/>
    <row r="2001" ht="20.05" customHeight="1" x14ac:dyDescent="0.3"/>
    <row r="2002" ht="20.05" customHeight="1" x14ac:dyDescent="0.3"/>
    <row r="2003" ht="20.05" customHeight="1" x14ac:dyDescent="0.3"/>
    <row r="2004" ht="20.05" customHeight="1" x14ac:dyDescent="0.3"/>
    <row r="2005" ht="20.05" customHeight="1" x14ac:dyDescent="0.3"/>
    <row r="2006" ht="20.05" customHeight="1" x14ac:dyDescent="0.3"/>
    <row r="2007" ht="20.05" customHeight="1" x14ac:dyDescent="0.3"/>
    <row r="2008" ht="20.05" customHeight="1" x14ac:dyDescent="0.3"/>
    <row r="2009" ht="20.05" customHeight="1" x14ac:dyDescent="0.3"/>
    <row r="2010" ht="20.05" customHeight="1" x14ac:dyDescent="0.3"/>
    <row r="2011" ht="20.05" customHeight="1" x14ac:dyDescent="0.3"/>
    <row r="2012" ht="20.05" customHeight="1" x14ac:dyDescent="0.3"/>
    <row r="2013" ht="20.05" customHeight="1" x14ac:dyDescent="0.3"/>
    <row r="2014" ht="20.05" customHeight="1" x14ac:dyDescent="0.3"/>
    <row r="2015" ht="20.05" customHeight="1" x14ac:dyDescent="0.3"/>
    <row r="2016" ht="20.05" customHeight="1" x14ac:dyDescent="0.3"/>
    <row r="2017" ht="20.05" customHeight="1" x14ac:dyDescent="0.3"/>
    <row r="2018" ht="20.05" customHeight="1" x14ac:dyDescent="0.3"/>
    <row r="2019" ht="20.05" customHeight="1" x14ac:dyDescent="0.3"/>
    <row r="2020" ht="20.05" customHeight="1" x14ac:dyDescent="0.3"/>
    <row r="2021" ht="20.05" customHeight="1" x14ac:dyDescent="0.3"/>
    <row r="2022" ht="20.05" customHeight="1" x14ac:dyDescent="0.3"/>
    <row r="2023" ht="20.05" customHeight="1" x14ac:dyDescent="0.3"/>
    <row r="2024" ht="20.05" customHeight="1" x14ac:dyDescent="0.3"/>
    <row r="2025" ht="20.05" customHeight="1" x14ac:dyDescent="0.3"/>
    <row r="2026" ht="20.05" customHeight="1" x14ac:dyDescent="0.3"/>
    <row r="2027" ht="20.05" customHeight="1" x14ac:dyDescent="0.3"/>
    <row r="2028" ht="20.05" customHeight="1" x14ac:dyDescent="0.3"/>
    <row r="2029" ht="20.05" customHeight="1" x14ac:dyDescent="0.3"/>
    <row r="2030" ht="20.05" customHeight="1" x14ac:dyDescent="0.3"/>
    <row r="2031" ht="20.05" customHeight="1" x14ac:dyDescent="0.3"/>
    <row r="2032" ht="20.05" customHeight="1" x14ac:dyDescent="0.3"/>
    <row r="2033" ht="20.05" customHeight="1" x14ac:dyDescent="0.3"/>
    <row r="2034" ht="20.05" customHeight="1" x14ac:dyDescent="0.3"/>
    <row r="2035" ht="20.05" customHeight="1" x14ac:dyDescent="0.3"/>
    <row r="2036" ht="20.05" customHeight="1" x14ac:dyDescent="0.3"/>
    <row r="2037" ht="20.05" customHeight="1" x14ac:dyDescent="0.3"/>
    <row r="2038" ht="20.05" customHeight="1" x14ac:dyDescent="0.3"/>
    <row r="2039" ht="20.05" customHeight="1" x14ac:dyDescent="0.3"/>
    <row r="2040" ht="20.05" customHeight="1" x14ac:dyDescent="0.3"/>
    <row r="2041" ht="20.05" customHeight="1" x14ac:dyDescent="0.3"/>
    <row r="2042" ht="20.05" customHeight="1" x14ac:dyDescent="0.3"/>
    <row r="2043" ht="20.05" customHeight="1" x14ac:dyDescent="0.3"/>
    <row r="2044" ht="20.05" customHeight="1" x14ac:dyDescent="0.3"/>
    <row r="2045" ht="20.05" customHeight="1" x14ac:dyDescent="0.3"/>
    <row r="2046" ht="20.05" customHeight="1" x14ac:dyDescent="0.3"/>
    <row r="2047" ht="20.05" customHeight="1" x14ac:dyDescent="0.3"/>
    <row r="2048" ht="20.05" customHeight="1" x14ac:dyDescent="0.3"/>
    <row r="2049" ht="20.05" customHeight="1" x14ac:dyDescent="0.3"/>
    <row r="2050" ht="20.05" customHeight="1" x14ac:dyDescent="0.3"/>
    <row r="2051" ht="20.05" customHeight="1" x14ac:dyDescent="0.3"/>
    <row r="2052" ht="20.05" customHeight="1" x14ac:dyDescent="0.3"/>
    <row r="2053" ht="20.05" customHeight="1" x14ac:dyDescent="0.3"/>
    <row r="2054" ht="20.05" customHeight="1" x14ac:dyDescent="0.3"/>
    <row r="2055" ht="20.05" customHeight="1" x14ac:dyDescent="0.3"/>
    <row r="2056" ht="20.05" customHeight="1" x14ac:dyDescent="0.3"/>
    <row r="2057" ht="20.05" customHeight="1" x14ac:dyDescent="0.3"/>
    <row r="2058" ht="20.05" customHeight="1" x14ac:dyDescent="0.3"/>
    <row r="2059" ht="20.05" customHeight="1" x14ac:dyDescent="0.3"/>
    <row r="2060" ht="20.05" customHeight="1" x14ac:dyDescent="0.3"/>
    <row r="2061" ht="20.05" customHeight="1" x14ac:dyDescent="0.3"/>
    <row r="2062" ht="20.05" customHeight="1" x14ac:dyDescent="0.3"/>
    <row r="2063" ht="20.05" customHeight="1" x14ac:dyDescent="0.3"/>
    <row r="2064" ht="20.05" customHeight="1" x14ac:dyDescent="0.3"/>
    <row r="2065" ht="20.05" customHeight="1" x14ac:dyDescent="0.3"/>
    <row r="2066" ht="20.05" customHeight="1" x14ac:dyDescent="0.3"/>
    <row r="2067" ht="20.05" customHeight="1" x14ac:dyDescent="0.3"/>
    <row r="2068" ht="20.05" customHeight="1" x14ac:dyDescent="0.3"/>
    <row r="2069" ht="20.05" customHeight="1" x14ac:dyDescent="0.3"/>
    <row r="2070" ht="20.05" customHeight="1" x14ac:dyDescent="0.3"/>
    <row r="2071" ht="20.05" customHeight="1" x14ac:dyDescent="0.3"/>
    <row r="2072" ht="20.05" customHeight="1" x14ac:dyDescent="0.3"/>
    <row r="2073" ht="20.05" customHeight="1" x14ac:dyDescent="0.3"/>
    <row r="2074" ht="20.05" customHeight="1" x14ac:dyDescent="0.3"/>
    <row r="2075" ht="20.05" customHeight="1" x14ac:dyDescent="0.3"/>
    <row r="2076" ht="20.05" customHeight="1" x14ac:dyDescent="0.3"/>
    <row r="2077" ht="20.05" customHeight="1" x14ac:dyDescent="0.3"/>
    <row r="2078" ht="20.05" customHeight="1" x14ac:dyDescent="0.3"/>
    <row r="2079" ht="20.05" customHeight="1" x14ac:dyDescent="0.3"/>
    <row r="2080" ht="20.05" customHeight="1" x14ac:dyDescent="0.3"/>
    <row r="2081" ht="20.05" customHeight="1" x14ac:dyDescent="0.3"/>
    <row r="2082" ht="20.05" customHeight="1" x14ac:dyDescent="0.3"/>
    <row r="2083" ht="20.05" customHeight="1" x14ac:dyDescent="0.3"/>
    <row r="2084" ht="20.05" customHeight="1" x14ac:dyDescent="0.3"/>
    <row r="2085" ht="20.05" customHeight="1" x14ac:dyDescent="0.3"/>
    <row r="2086" ht="20.05" customHeight="1" x14ac:dyDescent="0.3"/>
    <row r="2087" ht="20.05" customHeight="1" x14ac:dyDescent="0.3"/>
    <row r="2088" ht="20.05" customHeight="1" x14ac:dyDescent="0.3"/>
    <row r="2089" ht="20.05" customHeight="1" x14ac:dyDescent="0.3"/>
    <row r="2090" ht="20.05" customHeight="1" x14ac:dyDescent="0.3"/>
    <row r="2091" ht="20.05" customHeight="1" x14ac:dyDescent="0.3"/>
    <row r="2092" ht="20.05" customHeight="1" x14ac:dyDescent="0.3"/>
    <row r="2093" ht="20.05" customHeight="1" x14ac:dyDescent="0.3"/>
    <row r="2094" ht="20.05" customHeight="1" x14ac:dyDescent="0.3"/>
    <row r="2095" ht="20.05" customHeight="1" x14ac:dyDescent="0.3"/>
    <row r="2096" ht="20.05" customHeight="1" x14ac:dyDescent="0.3"/>
    <row r="2097" ht="20.05" customHeight="1" x14ac:dyDescent="0.3"/>
    <row r="2098" ht="20.05" customHeight="1" x14ac:dyDescent="0.3"/>
    <row r="2099" ht="20.05" customHeight="1" x14ac:dyDescent="0.3"/>
    <row r="2100" ht="20.05" customHeight="1" x14ac:dyDescent="0.3"/>
    <row r="2101" ht="20.05" customHeight="1" x14ac:dyDescent="0.3"/>
    <row r="2102" ht="20.05" customHeight="1" x14ac:dyDescent="0.3"/>
    <row r="2103" ht="20.05" customHeight="1" x14ac:dyDescent="0.3"/>
    <row r="2104" ht="20.05" customHeight="1" x14ac:dyDescent="0.3"/>
    <row r="2105" ht="20.05" customHeight="1" x14ac:dyDescent="0.3"/>
    <row r="2106" ht="20.05" customHeight="1" x14ac:dyDescent="0.3"/>
    <row r="2107" ht="20.05" customHeight="1" x14ac:dyDescent="0.3"/>
    <row r="2108" ht="20.05" customHeight="1" x14ac:dyDescent="0.3"/>
    <row r="2109" ht="20.05" customHeight="1" x14ac:dyDescent="0.3"/>
    <row r="2110" ht="20.05" customHeight="1" x14ac:dyDescent="0.3"/>
    <row r="2111" ht="20.05" customHeight="1" x14ac:dyDescent="0.3"/>
    <row r="2112" ht="20.05" customHeight="1" x14ac:dyDescent="0.3"/>
    <row r="2113" ht="20.05" customHeight="1" x14ac:dyDescent="0.3"/>
    <row r="2114" ht="20.05" customHeight="1" x14ac:dyDescent="0.3"/>
    <row r="2115" ht="20.05" customHeight="1" x14ac:dyDescent="0.3"/>
    <row r="2116" ht="20.05" customHeight="1" x14ac:dyDescent="0.3"/>
    <row r="2117" ht="20.05" customHeight="1" x14ac:dyDescent="0.3"/>
    <row r="2118" ht="20.05" customHeight="1" x14ac:dyDescent="0.3"/>
    <row r="2119" ht="20.05" customHeight="1" x14ac:dyDescent="0.3"/>
    <row r="2120" ht="20.05" customHeight="1" x14ac:dyDescent="0.3"/>
    <row r="2121" ht="20.05" customHeight="1" x14ac:dyDescent="0.3"/>
    <row r="2122" ht="20.05" customHeight="1" x14ac:dyDescent="0.3"/>
    <row r="2123" ht="20.05" customHeight="1" x14ac:dyDescent="0.3"/>
    <row r="2124" ht="20.05" customHeight="1" x14ac:dyDescent="0.3"/>
    <row r="2125" ht="20.05" customHeight="1" x14ac:dyDescent="0.3"/>
    <row r="2126" ht="20.05" customHeight="1" x14ac:dyDescent="0.3"/>
    <row r="2127" ht="20.05" customHeight="1" x14ac:dyDescent="0.3"/>
    <row r="2128" ht="20.05" customHeight="1" x14ac:dyDescent="0.3"/>
    <row r="2129" ht="20.05" customHeight="1" x14ac:dyDescent="0.3"/>
    <row r="2130" ht="20.05" customHeight="1" x14ac:dyDescent="0.3"/>
    <row r="2131" ht="20.05" customHeight="1" x14ac:dyDescent="0.3"/>
    <row r="2132" ht="20.05" customHeight="1" x14ac:dyDescent="0.3"/>
    <row r="2133" ht="20.05" customHeight="1" x14ac:dyDescent="0.3"/>
    <row r="2134" ht="20.05" customHeight="1" x14ac:dyDescent="0.3"/>
    <row r="2135" ht="20.05" customHeight="1" x14ac:dyDescent="0.3"/>
    <row r="2136" ht="20.05" customHeight="1" x14ac:dyDescent="0.3"/>
    <row r="2137" ht="20.05" customHeight="1" x14ac:dyDescent="0.3"/>
    <row r="2138" ht="20.05" customHeight="1" x14ac:dyDescent="0.3"/>
    <row r="2139" ht="20.05" customHeight="1" x14ac:dyDescent="0.3"/>
    <row r="2140" ht="20.05" customHeight="1" x14ac:dyDescent="0.3"/>
    <row r="2141" ht="20.05" customHeight="1" x14ac:dyDescent="0.3"/>
    <row r="2142" ht="20.05" customHeight="1" x14ac:dyDescent="0.3"/>
    <row r="2143" ht="20.05" customHeight="1" x14ac:dyDescent="0.3"/>
    <row r="2144" ht="20.05" customHeight="1" x14ac:dyDescent="0.3"/>
    <row r="2145" ht="20.05" customHeight="1" x14ac:dyDescent="0.3"/>
    <row r="2146" ht="20.05" customHeight="1" x14ac:dyDescent="0.3"/>
    <row r="2147" ht="20.05" customHeight="1" x14ac:dyDescent="0.3"/>
    <row r="2148" ht="20.05" customHeight="1" x14ac:dyDescent="0.3"/>
    <row r="2149" ht="20.05" customHeight="1" x14ac:dyDescent="0.3"/>
    <row r="2150" ht="20.05" customHeight="1" x14ac:dyDescent="0.3"/>
    <row r="2151" ht="20.05" customHeight="1" x14ac:dyDescent="0.3"/>
    <row r="2152" ht="20.05" customHeight="1" x14ac:dyDescent="0.3"/>
    <row r="2153" ht="20.05" customHeight="1" x14ac:dyDescent="0.3"/>
    <row r="2154" ht="20.05" customHeight="1" x14ac:dyDescent="0.3"/>
    <row r="2155" ht="20.05" customHeight="1" x14ac:dyDescent="0.3"/>
    <row r="2156" ht="20.05" customHeight="1" x14ac:dyDescent="0.3"/>
    <row r="2157" ht="20.05" customHeight="1" x14ac:dyDescent="0.3"/>
    <row r="2158" ht="20.05" customHeight="1" x14ac:dyDescent="0.3"/>
    <row r="2159" ht="20.05" customHeight="1" x14ac:dyDescent="0.3"/>
    <row r="2160" ht="20.05" customHeight="1" x14ac:dyDescent="0.3"/>
    <row r="2161" ht="20.05" customHeight="1" x14ac:dyDescent="0.3"/>
    <row r="2162" ht="20.05" customHeight="1" x14ac:dyDescent="0.3"/>
    <row r="2163" ht="20.05" customHeight="1" x14ac:dyDescent="0.3"/>
    <row r="2164" ht="20.05" customHeight="1" x14ac:dyDescent="0.3"/>
    <row r="2165" ht="20.05" customHeight="1" x14ac:dyDescent="0.3"/>
    <row r="2166" ht="20.05" customHeight="1" x14ac:dyDescent="0.3"/>
    <row r="2167" ht="20.05" customHeight="1" x14ac:dyDescent="0.3"/>
    <row r="2168" ht="20.05" customHeight="1" x14ac:dyDescent="0.3"/>
    <row r="2169" ht="20.05" customHeight="1" x14ac:dyDescent="0.3"/>
    <row r="2170" ht="20.05" customHeight="1" x14ac:dyDescent="0.3"/>
    <row r="2171" ht="20.05" customHeight="1" x14ac:dyDescent="0.3"/>
    <row r="2172" ht="20.05" customHeight="1" x14ac:dyDescent="0.3"/>
    <row r="2173" ht="20.05" customHeight="1" x14ac:dyDescent="0.3"/>
    <row r="2174" ht="20.05" customHeight="1" x14ac:dyDescent="0.3"/>
    <row r="2175" ht="20.05" customHeight="1" x14ac:dyDescent="0.3"/>
    <row r="2176" ht="20.05" customHeight="1" x14ac:dyDescent="0.3"/>
    <row r="2177" ht="20.05" customHeight="1" x14ac:dyDescent="0.3"/>
    <row r="2178" ht="20.05" customHeight="1" x14ac:dyDescent="0.3"/>
    <row r="2179" ht="20.05" customHeight="1" x14ac:dyDescent="0.3"/>
    <row r="2180" ht="20.05" customHeight="1" x14ac:dyDescent="0.3"/>
    <row r="2181" ht="20.05" customHeight="1" x14ac:dyDescent="0.3"/>
    <row r="2182" ht="20.05" customHeight="1" x14ac:dyDescent="0.3"/>
    <row r="2183" ht="20.05" customHeight="1" x14ac:dyDescent="0.3"/>
    <row r="2184" ht="20.05" customHeight="1" x14ac:dyDescent="0.3"/>
    <row r="2185" ht="20.05" customHeight="1" x14ac:dyDescent="0.3"/>
    <row r="2186" ht="20.05" customHeight="1" x14ac:dyDescent="0.3"/>
    <row r="2187" ht="20.05" customHeight="1" x14ac:dyDescent="0.3"/>
    <row r="2188" ht="20.05" customHeight="1" x14ac:dyDescent="0.3"/>
    <row r="2189" ht="20.05" customHeight="1" x14ac:dyDescent="0.3"/>
    <row r="2190" ht="20.05" customHeight="1" x14ac:dyDescent="0.3"/>
    <row r="2191" ht="20.05" customHeight="1" x14ac:dyDescent="0.3"/>
    <row r="2192" ht="20.05" customHeight="1" x14ac:dyDescent="0.3"/>
    <row r="2193" ht="20.05" customHeight="1" x14ac:dyDescent="0.3"/>
    <row r="2194" ht="20.05" customHeight="1" x14ac:dyDescent="0.3"/>
    <row r="2195" ht="20.05" customHeight="1" x14ac:dyDescent="0.3"/>
    <row r="2196" ht="20.05" customHeight="1" x14ac:dyDescent="0.3"/>
    <row r="2197" ht="20.05" customHeight="1" x14ac:dyDescent="0.3"/>
  </sheetData>
  <sheetProtection selectLockedCells="1"/>
  <mergeCells count="1">
    <mergeCell ref="A1:B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minLogin">
                <anchor moveWithCells="1" sizeWithCells="1">
                  <from>
                    <xdr:col>3</xdr:col>
                    <xdr:colOff>15903</xdr:colOff>
                    <xdr:row>15</xdr:row>
                    <xdr:rowOff>63610</xdr:rowOff>
                  </from>
                  <to>
                    <xdr:col>6</xdr:col>
                    <xdr:colOff>31805</xdr:colOff>
                    <xdr:row>17</xdr:row>
                    <xdr:rowOff>15903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Button 11">
              <controlPr defaultSize="0" print="0" autoFill="0" autoPict="0" macro="[0]!HideAndLock">
                <anchor moveWithCells="1" sizeWithCells="1">
                  <from>
                    <xdr:col>2</xdr:col>
                    <xdr:colOff>612250</xdr:colOff>
                    <xdr:row>17</xdr:row>
                    <xdr:rowOff>143123</xdr:rowOff>
                  </from>
                  <to>
                    <xdr:col>6</xdr:col>
                    <xdr:colOff>31805</xdr:colOff>
                    <xdr:row>19</xdr:row>
                    <xdr:rowOff>63610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Button 12">
              <controlPr defaultSize="0" print="0" autoFill="0" autoPict="0" macro="[0]!ImportCSV">
                <anchor moveWithCells="1" sizeWithCells="1">
                  <from>
                    <xdr:col>3</xdr:col>
                    <xdr:colOff>47708</xdr:colOff>
                    <xdr:row>0</xdr:row>
                    <xdr:rowOff>270344</xdr:rowOff>
                  </from>
                  <to>
                    <xdr:col>6</xdr:col>
                    <xdr:colOff>55659</xdr:colOff>
                    <xdr:row>0</xdr:row>
                    <xdr:rowOff>675861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" name="Button 13">
              <controlPr defaultSize="0" print="0" autoFill="0" autoPict="0" macro="[0]!ClearImport">
                <anchor moveWithCells="1" sizeWithCells="1">
                  <from>
                    <xdr:col>3</xdr:col>
                    <xdr:colOff>47708</xdr:colOff>
                    <xdr:row>0</xdr:row>
                    <xdr:rowOff>787179</xdr:rowOff>
                  </from>
                  <to>
                    <xdr:col>6</xdr:col>
                    <xdr:colOff>63610</xdr:colOff>
                    <xdr:row>0</xdr:row>
                    <xdr:rowOff>1232452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" name="Button 14">
              <controlPr defaultSize="0" print="0" autoFill="0" autoPict="0" macro="[0]!FindValue">
                <anchor moveWithCells="1" sizeWithCells="1">
                  <from>
                    <xdr:col>3</xdr:col>
                    <xdr:colOff>39757</xdr:colOff>
                    <xdr:row>1</xdr:row>
                    <xdr:rowOff>95416</xdr:rowOff>
                  </from>
                  <to>
                    <xdr:col>6</xdr:col>
                    <xdr:colOff>55659</xdr:colOff>
                    <xdr:row>3</xdr:row>
                    <xdr:rowOff>95416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7456B-7276-41E0-93FB-7DAEEDB2C61B}">
  <sheetPr codeName="Sheet8">
    <tabColor rgb="FF00B050"/>
  </sheetPr>
  <dimension ref="A1:L860"/>
  <sheetViews>
    <sheetView topLeftCell="C732" zoomScaleNormal="100" workbookViewId="0">
      <selection activeCell="N856" sqref="N856"/>
    </sheetView>
  </sheetViews>
  <sheetFormatPr defaultColWidth="9.109375" defaultRowHeight="15.05" x14ac:dyDescent="0.3"/>
  <cols>
    <col min="1" max="1" width="18.109375" style="59" hidden="1" customWidth="1"/>
    <col min="2" max="2" width="20.6640625" style="59" hidden="1" customWidth="1"/>
    <col min="3" max="3" width="9.109375" style="59"/>
    <col min="4" max="4" width="35.6640625" style="59" customWidth="1"/>
    <col min="5" max="5" width="12.33203125" style="59" customWidth="1"/>
    <col min="6" max="6" width="31" style="59" customWidth="1"/>
    <col min="7" max="7" width="27" style="59" hidden="1" customWidth="1"/>
    <col min="8" max="8" width="40" style="59" hidden="1" customWidth="1"/>
    <col min="9" max="9" width="24.6640625" style="59" hidden="1" customWidth="1"/>
    <col min="10" max="10" width="88.109375" style="59" hidden="1" customWidth="1"/>
    <col min="11" max="12" width="24.6640625" style="123" customWidth="1"/>
    <col min="13" max="16384" width="9.109375" style="59"/>
  </cols>
  <sheetData>
    <row r="1" spans="3:12" x14ac:dyDescent="0.3">
      <c r="C1" s="122"/>
      <c r="D1" s="122"/>
    </row>
    <row r="2" spans="3:12" x14ac:dyDescent="0.3">
      <c r="C2" s="60" t="s">
        <v>0</v>
      </c>
      <c r="D2" s="61">
        <f>'Client Information'!B2</f>
        <v>0</v>
      </c>
      <c r="F2" s="59">
        <v>0</v>
      </c>
    </row>
    <row r="3" spans="3:12" x14ac:dyDescent="0.3">
      <c r="C3" s="60" t="s">
        <v>1</v>
      </c>
      <c r="D3" s="61">
        <f>'Client Information'!B3</f>
        <v>0</v>
      </c>
      <c r="F3" s="59">
        <v>0</v>
      </c>
    </row>
    <row r="4" spans="3:12" x14ac:dyDescent="0.3">
      <c r="C4" s="60" t="s">
        <v>2</v>
      </c>
      <c r="D4" s="61">
        <f>'Client Information'!B4</f>
        <v>0</v>
      </c>
      <c r="F4" s="59">
        <v>0</v>
      </c>
    </row>
    <row r="5" spans="3:12" x14ac:dyDescent="0.3">
      <c r="C5" s="60" t="s">
        <v>3</v>
      </c>
      <c r="D5" s="61">
        <f>'Client Information'!B5</f>
        <v>0</v>
      </c>
      <c r="F5" s="59">
        <v>0</v>
      </c>
    </row>
    <row r="6" spans="3:12" x14ac:dyDescent="0.3">
      <c r="C6" s="60" t="s">
        <v>4</v>
      </c>
      <c r="D6" s="61">
        <f>'Client Information'!B6</f>
        <v>0</v>
      </c>
      <c r="F6" s="59">
        <v>0</v>
      </c>
    </row>
    <row r="7" spans="3:12" x14ac:dyDescent="0.3">
      <c r="C7" s="60" t="s">
        <v>5</v>
      </c>
      <c r="D7" s="61">
        <f>'Client Information'!B7</f>
        <v>0</v>
      </c>
      <c r="F7" s="59">
        <v>0</v>
      </c>
    </row>
    <row r="8" spans="3:12" x14ac:dyDescent="0.3">
      <c r="C8" s="60" t="s">
        <v>6</v>
      </c>
      <c r="D8" s="61">
        <f>'Client Information'!B8</f>
        <v>0</v>
      </c>
      <c r="F8" s="59">
        <v>0</v>
      </c>
    </row>
    <row r="9" spans="3:12" x14ac:dyDescent="0.3">
      <c r="C9" s="60" t="s">
        <v>7</v>
      </c>
      <c r="D9" s="61">
        <f>'Client Information'!B9</f>
        <v>0</v>
      </c>
      <c r="F9" s="59">
        <v>0</v>
      </c>
    </row>
    <row r="10" spans="3:12" x14ac:dyDescent="0.3">
      <c r="C10" s="60" t="s">
        <v>8</v>
      </c>
      <c r="D10" s="61">
        <f>'Client Information'!B10</f>
        <v>0</v>
      </c>
      <c r="F10" s="59">
        <v>0</v>
      </c>
    </row>
    <row r="11" spans="3:12" x14ac:dyDescent="0.3">
      <c r="F11" s="59">
        <v>0</v>
      </c>
    </row>
    <row r="12" spans="3:12" ht="15.65" x14ac:dyDescent="0.3">
      <c r="C12" s="33" t="s">
        <v>46</v>
      </c>
      <c r="D12" s="34"/>
      <c r="E12" s="35" t="s">
        <v>46</v>
      </c>
      <c r="F12" s="36">
        <v>0</v>
      </c>
      <c r="G12" s="62"/>
      <c r="H12" s="63"/>
      <c r="I12" s="62"/>
      <c r="J12" s="64"/>
      <c r="K12" s="124"/>
      <c r="L12" s="124"/>
    </row>
    <row r="13" spans="3:12" ht="15.65" x14ac:dyDescent="0.3">
      <c r="C13" s="37" t="s">
        <v>47</v>
      </c>
      <c r="D13" s="38" t="s">
        <v>48</v>
      </c>
      <c r="E13" s="39" t="s">
        <v>41</v>
      </c>
      <c r="F13" s="40">
        <v>0</v>
      </c>
      <c r="G13" s="65" t="s">
        <v>371</v>
      </c>
      <c r="H13" s="66"/>
      <c r="I13" s="67"/>
      <c r="J13" s="68"/>
      <c r="K13" s="125"/>
      <c r="L13" s="125"/>
    </row>
    <row r="14" spans="3:12" x14ac:dyDescent="0.3">
      <c r="C14" s="9"/>
      <c r="D14" s="10"/>
      <c r="E14" s="11"/>
      <c r="F14" s="12">
        <v>0</v>
      </c>
      <c r="G14" s="69"/>
      <c r="H14" s="70"/>
      <c r="I14" s="71"/>
      <c r="J14" s="72"/>
      <c r="K14" s="126"/>
      <c r="L14" s="126"/>
    </row>
    <row r="15" spans="3:12" ht="30.05" x14ac:dyDescent="0.3">
      <c r="C15" s="13"/>
      <c r="D15" s="14" t="s">
        <v>49</v>
      </c>
      <c r="E15" s="41" t="s">
        <v>46</v>
      </c>
      <c r="F15" s="15">
        <v>0</v>
      </c>
      <c r="G15" s="69"/>
      <c r="H15" s="70"/>
      <c r="I15" s="71"/>
      <c r="J15" s="72"/>
      <c r="K15" s="126"/>
      <c r="L15" s="126"/>
    </row>
    <row r="16" spans="3:12" x14ac:dyDescent="0.3">
      <c r="C16" s="16"/>
      <c r="D16" s="17"/>
      <c r="E16" s="42"/>
      <c r="F16" s="18">
        <v>0</v>
      </c>
      <c r="G16" s="69"/>
      <c r="H16" s="70"/>
      <c r="I16" s="71"/>
      <c r="J16" s="72"/>
      <c r="K16" s="126"/>
      <c r="L16" s="126"/>
    </row>
    <row r="17" spans="3:12" x14ac:dyDescent="0.3">
      <c r="C17" s="13"/>
      <c r="D17" s="14" t="s">
        <v>50</v>
      </c>
      <c r="E17" s="41"/>
      <c r="F17" s="15">
        <v>0</v>
      </c>
      <c r="G17" s="69"/>
      <c r="H17" s="70"/>
      <c r="I17" s="71"/>
      <c r="J17" s="72"/>
      <c r="K17" s="126"/>
      <c r="L17" s="126"/>
    </row>
    <row r="18" spans="3:12" x14ac:dyDescent="0.3">
      <c r="C18" s="16"/>
      <c r="D18" s="17"/>
      <c r="E18" s="42"/>
      <c r="F18" s="18">
        <v>0</v>
      </c>
      <c r="G18" s="69"/>
      <c r="H18" s="70"/>
      <c r="I18" s="71"/>
      <c r="J18" s="72"/>
      <c r="K18" s="126"/>
      <c r="L18" s="126"/>
    </row>
    <row r="19" spans="3:12" x14ac:dyDescent="0.3">
      <c r="C19" s="16"/>
      <c r="D19" s="14" t="s">
        <v>291</v>
      </c>
      <c r="E19" s="42"/>
      <c r="F19" s="18">
        <v>0</v>
      </c>
      <c r="G19" s="69"/>
      <c r="H19" s="70"/>
      <c r="I19" s="71"/>
      <c r="J19" s="72"/>
      <c r="K19" s="126"/>
      <c r="L19" s="126"/>
    </row>
    <row r="20" spans="3:12" x14ac:dyDescent="0.3">
      <c r="C20" s="16"/>
      <c r="D20" s="17"/>
      <c r="E20" s="42"/>
      <c r="F20" s="18">
        <v>0</v>
      </c>
      <c r="G20" s="69"/>
      <c r="H20" s="70"/>
      <c r="I20" s="71"/>
      <c r="J20" s="72"/>
      <c r="K20" s="126"/>
      <c r="L20" s="126"/>
    </row>
    <row r="21" spans="3:12" x14ac:dyDescent="0.3">
      <c r="C21" s="16"/>
      <c r="D21" s="17" t="s">
        <v>292</v>
      </c>
      <c r="E21" s="42" t="s">
        <v>47</v>
      </c>
      <c r="F21" s="18">
        <v>0</v>
      </c>
      <c r="G21" s="69" t="s">
        <v>295</v>
      </c>
      <c r="H21" s="70"/>
      <c r="I21" s="71"/>
      <c r="J21" s="72"/>
      <c r="K21" s="126"/>
      <c r="L21" s="126"/>
    </row>
    <row r="22" spans="3:12" x14ac:dyDescent="0.3">
      <c r="C22" s="16"/>
      <c r="D22" s="17"/>
      <c r="E22" s="42"/>
      <c r="F22" s="18">
        <v>0</v>
      </c>
      <c r="G22" s="69"/>
      <c r="H22" s="70"/>
      <c r="I22" s="71"/>
      <c r="J22" s="72"/>
      <c r="K22" s="126"/>
      <c r="L22" s="126"/>
    </row>
    <row r="23" spans="3:12" x14ac:dyDescent="0.3">
      <c r="C23" s="16"/>
      <c r="D23" s="17" t="s">
        <v>293</v>
      </c>
      <c r="E23" s="42" t="s">
        <v>47</v>
      </c>
      <c r="F23" s="18">
        <v>0</v>
      </c>
      <c r="G23" s="69" t="s">
        <v>295</v>
      </c>
      <c r="H23" s="70"/>
      <c r="I23" s="71"/>
      <c r="J23" s="72"/>
      <c r="K23" s="126"/>
      <c r="L23" s="126"/>
    </row>
    <row r="24" spans="3:12" x14ac:dyDescent="0.3">
      <c r="C24" s="16"/>
      <c r="D24" s="17"/>
      <c r="E24" s="42"/>
      <c r="F24" s="18">
        <v>0</v>
      </c>
      <c r="G24" s="69"/>
      <c r="H24" s="70"/>
      <c r="I24" s="71"/>
      <c r="J24" s="72"/>
      <c r="K24" s="126"/>
      <c r="L24" s="126"/>
    </row>
    <row r="25" spans="3:12" x14ac:dyDescent="0.3">
      <c r="C25" s="16"/>
      <c r="D25" s="17" t="s">
        <v>294</v>
      </c>
      <c r="E25" s="42" t="s">
        <v>47</v>
      </c>
      <c r="F25" s="18">
        <v>0</v>
      </c>
      <c r="G25" s="69" t="s">
        <v>295</v>
      </c>
      <c r="H25" s="70"/>
      <c r="I25" s="71"/>
      <c r="J25" s="72"/>
      <c r="K25" s="126"/>
      <c r="L25" s="126"/>
    </row>
    <row r="26" spans="3:12" x14ac:dyDescent="0.3">
      <c r="C26" s="16"/>
      <c r="D26" s="17"/>
      <c r="E26" s="42"/>
      <c r="F26" s="18">
        <v>0</v>
      </c>
      <c r="G26" s="69"/>
      <c r="H26" s="70"/>
      <c r="I26" s="71"/>
      <c r="J26" s="72"/>
      <c r="K26" s="126"/>
      <c r="L26" s="126"/>
    </row>
    <row r="27" spans="3:12" x14ac:dyDescent="0.3">
      <c r="C27" s="19"/>
      <c r="D27" s="20"/>
      <c r="E27" s="43"/>
      <c r="F27" s="21">
        <v>0</v>
      </c>
      <c r="G27" s="73"/>
      <c r="H27" s="74"/>
      <c r="I27" s="75"/>
      <c r="J27" s="76"/>
      <c r="K27" s="127"/>
      <c r="L27" s="127"/>
    </row>
    <row r="28" spans="3:12" x14ac:dyDescent="0.3">
      <c r="C28" s="30"/>
      <c r="D28" s="31" t="s">
        <v>52</v>
      </c>
      <c r="E28" s="44" t="s">
        <v>46</v>
      </c>
      <c r="F28" s="32">
        <v>0</v>
      </c>
      <c r="G28" s="77" t="s">
        <v>296</v>
      </c>
      <c r="H28" s="78"/>
      <c r="I28" s="79"/>
      <c r="J28" s="80"/>
      <c r="K28" s="128"/>
      <c r="L28" s="128"/>
    </row>
    <row r="29" spans="3:12" x14ac:dyDescent="0.3">
      <c r="C29" s="16"/>
      <c r="D29" s="17"/>
      <c r="E29" s="42"/>
      <c r="F29" s="18">
        <v>0</v>
      </c>
      <c r="G29" s="69"/>
      <c r="H29" s="70"/>
      <c r="I29" s="71"/>
      <c r="J29" s="72"/>
      <c r="K29" s="126"/>
      <c r="L29" s="126"/>
    </row>
    <row r="30" spans="3:12" hidden="1" x14ac:dyDescent="0.3">
      <c r="C30" s="13"/>
      <c r="D30" s="14" t="s">
        <v>53</v>
      </c>
      <c r="E30" s="41"/>
      <c r="F30" s="15">
        <v>0</v>
      </c>
      <c r="G30" s="69" t="s">
        <v>296</v>
      </c>
      <c r="H30" s="70"/>
      <c r="I30" s="71"/>
      <c r="J30" s="72"/>
      <c r="K30" s="126"/>
      <c r="L30" s="126"/>
    </row>
    <row r="31" spans="3:12" hidden="1" x14ac:dyDescent="0.3">
      <c r="C31" s="16"/>
      <c r="D31" s="17"/>
      <c r="E31" s="42"/>
      <c r="F31" s="18">
        <v>0</v>
      </c>
      <c r="G31" s="69"/>
      <c r="H31" s="70"/>
      <c r="I31" s="71"/>
      <c r="J31" s="72"/>
      <c r="K31" s="126"/>
      <c r="L31" s="126"/>
    </row>
    <row r="32" spans="3:12" hidden="1" x14ac:dyDescent="0.3">
      <c r="C32" s="13"/>
      <c r="D32" s="14" t="s">
        <v>54</v>
      </c>
      <c r="E32" s="41"/>
      <c r="F32" s="15">
        <v>0</v>
      </c>
      <c r="G32" s="69" t="s">
        <v>296</v>
      </c>
      <c r="H32" s="70"/>
      <c r="I32" s="71"/>
      <c r="J32" s="72"/>
      <c r="K32" s="126"/>
      <c r="L32" s="126"/>
    </row>
    <row r="33" spans="2:12" hidden="1" x14ac:dyDescent="0.3">
      <c r="C33" s="16"/>
      <c r="D33" s="17"/>
      <c r="E33" s="42"/>
      <c r="F33" s="18">
        <v>0</v>
      </c>
      <c r="G33" s="69"/>
      <c r="H33" s="70"/>
      <c r="I33" s="71"/>
      <c r="J33" s="72"/>
      <c r="K33" s="126"/>
      <c r="L33" s="126"/>
    </row>
    <row r="34" spans="2:12" ht="60.1" hidden="1" x14ac:dyDescent="0.3">
      <c r="C34" s="16"/>
      <c r="D34" s="17" t="s">
        <v>55</v>
      </c>
      <c r="E34" s="42" t="s">
        <v>56</v>
      </c>
      <c r="F34" s="18">
        <v>0</v>
      </c>
      <c r="G34" s="69" t="s">
        <v>296</v>
      </c>
      <c r="H34" s="70"/>
      <c r="I34" s="71"/>
      <c r="J34" s="72"/>
      <c r="K34" s="126"/>
      <c r="L34" s="126"/>
    </row>
    <row r="35" spans="2:12" hidden="1" x14ac:dyDescent="0.3">
      <c r="C35" s="16"/>
      <c r="D35" s="17"/>
      <c r="E35" s="42"/>
      <c r="F35" s="18">
        <v>0</v>
      </c>
      <c r="G35" s="69"/>
      <c r="H35" s="70"/>
      <c r="I35" s="71"/>
      <c r="J35" s="72"/>
      <c r="K35" s="126"/>
      <c r="L35" s="126"/>
    </row>
    <row r="36" spans="2:12" hidden="1" x14ac:dyDescent="0.3">
      <c r="C36" s="13"/>
      <c r="D36" s="14" t="s">
        <v>57</v>
      </c>
      <c r="E36" s="41"/>
      <c r="F36" s="15">
        <v>0</v>
      </c>
      <c r="G36" s="69"/>
      <c r="H36" s="70"/>
      <c r="I36" s="71"/>
      <c r="J36" s="72"/>
      <c r="K36" s="126"/>
      <c r="L36" s="126"/>
    </row>
    <row r="37" spans="2:12" hidden="1" x14ac:dyDescent="0.3">
      <c r="C37" s="16"/>
      <c r="D37" s="17"/>
      <c r="E37" s="42"/>
      <c r="F37" s="18">
        <v>0</v>
      </c>
      <c r="G37" s="69"/>
      <c r="H37" s="70"/>
      <c r="I37" s="71"/>
      <c r="J37" s="72"/>
      <c r="K37" s="126"/>
      <c r="L37" s="126"/>
    </row>
    <row r="38" spans="2:12" ht="30.05" hidden="1" x14ac:dyDescent="0.3">
      <c r="C38" s="16"/>
      <c r="D38" s="17" t="s">
        <v>58</v>
      </c>
      <c r="E38" s="42" t="s">
        <v>59</v>
      </c>
      <c r="F38" s="18">
        <v>0</v>
      </c>
      <c r="G38" s="69" t="s">
        <v>296</v>
      </c>
      <c r="H38" s="70" t="s">
        <v>327</v>
      </c>
      <c r="I38" s="71"/>
      <c r="J38" s="72"/>
      <c r="K38" s="126"/>
      <c r="L38" s="126"/>
    </row>
    <row r="39" spans="2:12" hidden="1" x14ac:dyDescent="0.3">
      <c r="C39" s="16"/>
      <c r="D39" s="17"/>
      <c r="E39" s="42"/>
      <c r="F39" s="18">
        <v>0</v>
      </c>
      <c r="G39" s="69"/>
      <c r="H39" s="70"/>
      <c r="I39" s="71"/>
      <c r="J39" s="72"/>
      <c r="K39" s="126"/>
      <c r="L39" s="126"/>
    </row>
    <row r="40" spans="2:12" hidden="1" x14ac:dyDescent="0.3">
      <c r="C40" s="13"/>
      <c r="D40" s="14" t="s">
        <v>57</v>
      </c>
      <c r="E40" s="41"/>
      <c r="F40" s="15">
        <v>0</v>
      </c>
      <c r="G40" s="69"/>
      <c r="H40" s="70"/>
      <c r="I40" s="71"/>
      <c r="J40" s="72"/>
      <c r="K40" s="126"/>
      <c r="L40" s="126"/>
    </row>
    <row r="41" spans="2:12" hidden="1" x14ac:dyDescent="0.3">
      <c r="C41" s="16"/>
      <c r="D41" s="17"/>
      <c r="E41" s="42"/>
      <c r="F41" s="18">
        <v>0</v>
      </c>
      <c r="G41" s="69"/>
      <c r="H41" s="70"/>
      <c r="I41" s="71"/>
      <c r="J41" s="72"/>
      <c r="K41" s="126"/>
      <c r="L41" s="126"/>
    </row>
    <row r="42" spans="2:12" ht="30.05" hidden="1" x14ac:dyDescent="0.3">
      <c r="C42" s="13"/>
      <c r="D42" s="17" t="s">
        <v>60</v>
      </c>
      <c r="E42" s="41"/>
      <c r="F42" s="15">
        <v>0</v>
      </c>
      <c r="G42" s="69"/>
      <c r="H42" s="70"/>
      <c r="I42" s="71"/>
      <c r="J42" s="72"/>
      <c r="K42" s="126"/>
      <c r="L42" s="126"/>
    </row>
    <row r="43" spans="2:12" hidden="1" x14ac:dyDescent="0.3">
      <c r="C43" s="16"/>
      <c r="D43" s="17"/>
      <c r="E43" s="42"/>
      <c r="F43" s="18">
        <v>0</v>
      </c>
      <c r="G43" s="69"/>
      <c r="H43" s="70"/>
      <c r="I43" s="71"/>
      <c r="J43" s="72"/>
      <c r="K43" s="126"/>
      <c r="L43" s="126"/>
    </row>
    <row r="44" spans="2:12" hidden="1" x14ac:dyDescent="0.3">
      <c r="B44" s="59" t="s">
        <v>355</v>
      </c>
      <c r="C44" s="16"/>
      <c r="D44" s="17" t="s">
        <v>379</v>
      </c>
      <c r="E44" s="42" t="s">
        <v>59</v>
      </c>
      <c r="F44" s="18">
        <v>0</v>
      </c>
      <c r="G44" s="69" t="s">
        <v>296</v>
      </c>
      <c r="H44" s="70" t="s">
        <v>357</v>
      </c>
      <c r="I44" s="71" t="s">
        <v>355</v>
      </c>
      <c r="J44" s="81" t="s">
        <v>362</v>
      </c>
      <c r="K44" s="126"/>
      <c r="L44" s="126"/>
    </row>
    <row r="45" spans="2:12" hidden="1" x14ac:dyDescent="0.3">
      <c r="C45" s="16"/>
      <c r="D45" s="17"/>
      <c r="E45" s="42"/>
      <c r="F45" s="18">
        <v>0</v>
      </c>
      <c r="G45" s="69"/>
      <c r="H45" s="70"/>
      <c r="I45" s="71"/>
      <c r="J45" s="72"/>
      <c r="K45" s="126"/>
      <c r="L45" s="126"/>
    </row>
    <row r="46" spans="2:12" ht="30.05" hidden="1" x14ac:dyDescent="0.3">
      <c r="C46" s="13"/>
      <c r="D46" s="14" t="s">
        <v>61</v>
      </c>
      <c r="E46" s="41"/>
      <c r="F46" s="15">
        <v>0</v>
      </c>
      <c r="G46" s="69"/>
      <c r="H46" s="70"/>
      <c r="I46" s="71"/>
      <c r="J46" s="72"/>
      <c r="K46" s="126"/>
      <c r="L46" s="126"/>
    </row>
    <row r="47" spans="2:12" hidden="1" x14ac:dyDescent="0.3">
      <c r="C47" s="16"/>
      <c r="D47" s="17"/>
      <c r="E47" s="42"/>
      <c r="F47" s="18">
        <v>0</v>
      </c>
      <c r="G47" s="69"/>
      <c r="H47" s="70"/>
      <c r="I47" s="71"/>
      <c r="J47" s="72"/>
      <c r="K47" s="126"/>
      <c r="L47" s="126"/>
    </row>
    <row r="48" spans="2:12" hidden="1" x14ac:dyDescent="0.3">
      <c r="C48" s="16"/>
      <c r="D48" s="17" t="s">
        <v>380</v>
      </c>
      <c r="E48" s="42" t="s">
        <v>59</v>
      </c>
      <c r="F48" s="18">
        <v>0</v>
      </c>
      <c r="G48" s="69" t="s">
        <v>296</v>
      </c>
      <c r="H48" s="70" t="s">
        <v>327</v>
      </c>
      <c r="I48" s="71"/>
      <c r="J48" s="72"/>
      <c r="K48" s="126"/>
      <c r="L48" s="126"/>
    </row>
    <row r="49" spans="2:12" hidden="1" x14ac:dyDescent="0.3">
      <c r="C49" s="16"/>
      <c r="D49" s="17"/>
      <c r="E49" s="42"/>
      <c r="F49" s="18">
        <v>0</v>
      </c>
      <c r="G49" s="69"/>
      <c r="H49" s="70"/>
      <c r="I49" s="71"/>
      <c r="J49" s="72"/>
      <c r="K49" s="126"/>
      <c r="L49" s="126"/>
    </row>
    <row r="50" spans="2:12" hidden="1" x14ac:dyDescent="0.3">
      <c r="C50" s="16"/>
      <c r="D50" s="17" t="s">
        <v>381</v>
      </c>
      <c r="E50" s="42" t="s">
        <v>59</v>
      </c>
      <c r="F50" s="18">
        <v>0</v>
      </c>
      <c r="G50" s="69" t="s">
        <v>296</v>
      </c>
      <c r="H50" s="70" t="s">
        <v>327</v>
      </c>
      <c r="I50" s="71"/>
      <c r="J50" s="72"/>
      <c r="K50" s="126"/>
      <c r="L50" s="126"/>
    </row>
    <row r="51" spans="2:12" hidden="1" x14ac:dyDescent="0.3">
      <c r="C51" s="16"/>
      <c r="D51" s="17"/>
      <c r="E51" s="42"/>
      <c r="F51" s="18">
        <v>0</v>
      </c>
      <c r="G51" s="69"/>
      <c r="H51" s="70"/>
      <c r="I51" s="71"/>
      <c r="J51" s="72"/>
      <c r="K51" s="126"/>
      <c r="L51" s="126"/>
    </row>
    <row r="52" spans="2:12" hidden="1" x14ac:dyDescent="0.3">
      <c r="C52" s="13"/>
      <c r="D52" s="14" t="s">
        <v>62</v>
      </c>
      <c r="E52" s="41"/>
      <c r="F52" s="15">
        <v>0</v>
      </c>
      <c r="G52" s="69"/>
      <c r="H52" s="70"/>
      <c r="I52" s="71"/>
      <c r="J52" s="72"/>
      <c r="K52" s="126"/>
      <c r="L52" s="126"/>
    </row>
    <row r="53" spans="2:12" hidden="1" x14ac:dyDescent="0.3">
      <c r="C53" s="16"/>
      <c r="D53" s="17"/>
      <c r="E53" s="42"/>
      <c r="F53" s="18">
        <v>0</v>
      </c>
      <c r="G53" s="69"/>
      <c r="H53" s="70"/>
      <c r="I53" s="71"/>
      <c r="J53" s="72"/>
      <c r="K53" s="126"/>
      <c r="L53" s="126"/>
    </row>
    <row r="54" spans="2:12" ht="45.1" hidden="1" x14ac:dyDescent="0.3">
      <c r="B54" s="59" t="s">
        <v>355</v>
      </c>
      <c r="C54" s="16"/>
      <c r="D54" s="17" t="s">
        <v>63</v>
      </c>
      <c r="E54" s="42" t="s">
        <v>59</v>
      </c>
      <c r="F54" s="18">
        <v>0</v>
      </c>
      <c r="G54" s="69" t="s">
        <v>296</v>
      </c>
      <c r="H54" s="70" t="s">
        <v>357</v>
      </c>
      <c r="I54" s="71" t="s">
        <v>355</v>
      </c>
      <c r="J54" s="81" t="s">
        <v>363</v>
      </c>
      <c r="K54" s="126"/>
      <c r="L54" s="126"/>
    </row>
    <row r="55" spans="2:12" hidden="1" x14ac:dyDescent="0.3">
      <c r="C55" s="16"/>
      <c r="D55" s="17"/>
      <c r="E55" s="42"/>
      <c r="F55" s="18">
        <v>0</v>
      </c>
      <c r="G55" s="69"/>
      <c r="H55" s="70"/>
      <c r="I55" s="71"/>
      <c r="J55" s="72"/>
      <c r="K55" s="126"/>
      <c r="L55" s="126"/>
    </row>
    <row r="56" spans="2:12" hidden="1" x14ac:dyDescent="0.3">
      <c r="C56" s="13"/>
      <c r="D56" s="14" t="s">
        <v>64</v>
      </c>
      <c r="E56" s="41"/>
      <c r="F56" s="15">
        <v>0</v>
      </c>
      <c r="G56" s="69"/>
      <c r="H56" s="70"/>
      <c r="I56" s="71"/>
      <c r="J56" s="72"/>
      <c r="K56" s="126"/>
      <c r="L56" s="126"/>
    </row>
    <row r="57" spans="2:12" hidden="1" x14ac:dyDescent="0.3">
      <c r="C57" s="16"/>
      <c r="D57" s="17"/>
      <c r="E57" s="42"/>
      <c r="F57" s="18">
        <v>0</v>
      </c>
      <c r="G57" s="69"/>
      <c r="H57" s="70"/>
      <c r="I57" s="71"/>
      <c r="J57" s="72"/>
      <c r="K57" s="126"/>
      <c r="L57" s="126"/>
    </row>
    <row r="58" spans="2:12" ht="30.05" hidden="1" x14ac:dyDescent="0.3">
      <c r="B58" s="59" t="s">
        <v>355</v>
      </c>
      <c r="C58" s="16"/>
      <c r="D58" s="17" t="s">
        <v>382</v>
      </c>
      <c r="E58" s="42" t="s">
        <v>56</v>
      </c>
      <c r="F58" s="18">
        <v>0</v>
      </c>
      <c r="G58" s="69" t="s">
        <v>296</v>
      </c>
      <c r="H58" s="70" t="s">
        <v>357</v>
      </c>
      <c r="I58" s="71" t="s">
        <v>355</v>
      </c>
      <c r="J58" s="81" t="s">
        <v>361</v>
      </c>
      <c r="K58" s="126"/>
      <c r="L58" s="126"/>
    </row>
    <row r="59" spans="2:12" hidden="1" x14ac:dyDescent="0.3">
      <c r="C59" s="16"/>
      <c r="D59" s="17"/>
      <c r="E59" s="42"/>
      <c r="F59" s="18">
        <v>0</v>
      </c>
      <c r="G59" s="69"/>
      <c r="H59" s="70"/>
      <c r="I59" s="71"/>
      <c r="J59" s="72"/>
      <c r="K59" s="126"/>
      <c r="L59" s="126"/>
    </row>
    <row r="60" spans="2:12" hidden="1" x14ac:dyDescent="0.3">
      <c r="C60" s="13"/>
      <c r="D60" s="14" t="s">
        <v>65</v>
      </c>
      <c r="E60" s="41"/>
      <c r="F60" s="15">
        <v>0</v>
      </c>
      <c r="G60" s="69"/>
      <c r="H60" s="70"/>
      <c r="I60" s="71"/>
      <c r="J60" s="72"/>
      <c r="K60" s="126"/>
      <c r="L60" s="126"/>
    </row>
    <row r="61" spans="2:12" hidden="1" x14ac:dyDescent="0.3">
      <c r="C61" s="16"/>
      <c r="D61" s="17"/>
      <c r="E61" s="42"/>
      <c r="F61" s="18">
        <v>0</v>
      </c>
      <c r="G61" s="69"/>
      <c r="H61" s="70"/>
      <c r="I61" s="71"/>
      <c r="J61" s="72"/>
      <c r="K61" s="126"/>
      <c r="L61" s="126"/>
    </row>
    <row r="62" spans="2:12" hidden="1" x14ac:dyDescent="0.3">
      <c r="C62" s="13"/>
      <c r="D62" s="14" t="s">
        <v>66</v>
      </c>
      <c r="E62" s="41"/>
      <c r="F62" s="15">
        <v>0</v>
      </c>
      <c r="G62" s="69"/>
      <c r="H62" s="70"/>
      <c r="I62" s="71"/>
      <c r="J62" s="72"/>
      <c r="K62" s="126"/>
      <c r="L62" s="126"/>
    </row>
    <row r="63" spans="2:12" hidden="1" x14ac:dyDescent="0.3">
      <c r="C63" s="16"/>
      <c r="D63" s="17"/>
      <c r="E63" s="42"/>
      <c r="F63" s="18">
        <v>0</v>
      </c>
      <c r="G63" s="69"/>
      <c r="H63" s="70"/>
      <c r="I63" s="71"/>
      <c r="J63" s="72"/>
      <c r="K63" s="126"/>
      <c r="L63" s="126"/>
    </row>
    <row r="64" spans="2:12" ht="45.1" hidden="1" x14ac:dyDescent="0.3">
      <c r="C64" s="13"/>
      <c r="D64" s="14" t="s">
        <v>67</v>
      </c>
      <c r="E64" s="41"/>
      <c r="F64" s="15">
        <v>0</v>
      </c>
      <c r="G64" s="69"/>
      <c r="H64" s="70"/>
      <c r="I64" s="71"/>
      <c r="J64" s="72"/>
      <c r="K64" s="126"/>
      <c r="L64" s="126"/>
    </row>
    <row r="65" spans="2:12" hidden="1" x14ac:dyDescent="0.3">
      <c r="C65" s="16"/>
      <c r="D65" s="17"/>
      <c r="E65" s="42"/>
      <c r="F65" s="18">
        <v>0</v>
      </c>
      <c r="G65" s="69"/>
      <c r="H65" s="70"/>
      <c r="I65" s="71"/>
      <c r="J65" s="72"/>
      <c r="K65" s="126"/>
      <c r="L65" s="126"/>
    </row>
    <row r="66" spans="2:12" hidden="1" x14ac:dyDescent="0.3">
      <c r="B66" s="59" t="s">
        <v>355</v>
      </c>
      <c r="C66" s="16"/>
      <c r="D66" s="17" t="s">
        <v>383</v>
      </c>
      <c r="E66" s="42" t="s">
        <v>59</v>
      </c>
      <c r="F66" s="18">
        <v>0</v>
      </c>
      <c r="G66" s="69" t="s">
        <v>296</v>
      </c>
      <c r="H66" s="70" t="s">
        <v>357</v>
      </c>
      <c r="I66" s="71" t="s">
        <v>355</v>
      </c>
      <c r="J66" s="81" t="s">
        <v>360</v>
      </c>
      <c r="K66" s="126"/>
      <c r="L66" s="126"/>
    </row>
    <row r="67" spans="2:12" hidden="1" x14ac:dyDescent="0.3">
      <c r="C67" s="16"/>
      <c r="D67" s="17"/>
      <c r="E67" s="42"/>
      <c r="F67" s="18">
        <v>0</v>
      </c>
      <c r="G67" s="69"/>
      <c r="H67" s="70"/>
      <c r="I67" s="71"/>
      <c r="J67" s="72"/>
      <c r="K67" s="126"/>
      <c r="L67" s="126"/>
    </row>
    <row r="68" spans="2:12" hidden="1" x14ac:dyDescent="0.3">
      <c r="C68" s="13"/>
      <c r="D68" s="14" t="s">
        <v>68</v>
      </c>
      <c r="E68" s="41"/>
      <c r="F68" s="15">
        <v>0</v>
      </c>
      <c r="G68" s="69"/>
      <c r="H68" s="70"/>
      <c r="I68" s="71"/>
      <c r="J68" s="72"/>
      <c r="K68" s="126"/>
      <c r="L68" s="126"/>
    </row>
    <row r="69" spans="2:12" hidden="1" x14ac:dyDescent="0.3">
      <c r="C69" s="16"/>
      <c r="D69" s="17"/>
      <c r="E69" s="42"/>
      <c r="F69" s="18">
        <v>0</v>
      </c>
      <c r="G69" s="69"/>
      <c r="H69" s="70"/>
      <c r="I69" s="71"/>
      <c r="J69" s="72"/>
      <c r="K69" s="126"/>
      <c r="L69" s="126"/>
    </row>
    <row r="70" spans="2:12" ht="45.1" hidden="1" x14ac:dyDescent="0.3">
      <c r="C70" s="13"/>
      <c r="D70" s="14" t="s">
        <v>385</v>
      </c>
      <c r="E70" s="41"/>
      <c r="F70" s="15">
        <v>0</v>
      </c>
      <c r="G70" s="69"/>
      <c r="H70" s="70"/>
      <c r="I70" s="71"/>
      <c r="J70" s="72"/>
      <c r="K70" s="126"/>
      <c r="L70" s="126"/>
    </row>
    <row r="71" spans="2:12" hidden="1" x14ac:dyDescent="0.3">
      <c r="C71" s="16"/>
      <c r="D71" s="17"/>
      <c r="E71" s="42"/>
      <c r="F71" s="18">
        <v>0</v>
      </c>
      <c r="G71" s="69"/>
      <c r="H71" s="70"/>
      <c r="I71" s="71"/>
      <c r="J71" s="72"/>
      <c r="K71" s="126"/>
      <c r="L71" s="126"/>
    </row>
    <row r="72" spans="2:12" hidden="1" x14ac:dyDescent="0.3">
      <c r="C72" s="16"/>
      <c r="D72" s="17" t="s">
        <v>69</v>
      </c>
      <c r="E72" s="42" t="s">
        <v>29</v>
      </c>
      <c r="F72" s="18">
        <v>0</v>
      </c>
      <c r="G72" s="69" t="s">
        <v>296</v>
      </c>
      <c r="H72" s="70" t="s">
        <v>327</v>
      </c>
      <c r="I72" s="71"/>
      <c r="J72" s="72"/>
      <c r="K72" s="126"/>
      <c r="L72" s="126"/>
    </row>
    <row r="73" spans="2:12" hidden="1" x14ac:dyDescent="0.3">
      <c r="C73" s="16"/>
      <c r="D73" s="17"/>
      <c r="E73" s="42"/>
      <c r="F73" s="18">
        <v>0</v>
      </c>
      <c r="G73" s="69"/>
      <c r="H73" s="70"/>
      <c r="I73" s="71"/>
      <c r="J73" s="72"/>
      <c r="K73" s="126"/>
      <c r="L73" s="126"/>
    </row>
    <row r="74" spans="2:12" hidden="1" x14ac:dyDescent="0.3">
      <c r="C74" s="13"/>
      <c r="D74" s="14" t="s">
        <v>70</v>
      </c>
      <c r="E74" s="41"/>
      <c r="F74" s="15">
        <v>0</v>
      </c>
      <c r="G74" s="69"/>
      <c r="H74" s="70"/>
      <c r="I74" s="71"/>
      <c r="J74" s="72"/>
      <c r="K74" s="126"/>
      <c r="L74" s="126"/>
    </row>
    <row r="75" spans="2:12" hidden="1" x14ac:dyDescent="0.3">
      <c r="C75" s="16"/>
      <c r="D75" s="17"/>
      <c r="E75" s="42"/>
      <c r="F75" s="18">
        <v>0</v>
      </c>
      <c r="G75" s="69"/>
      <c r="H75" s="70"/>
      <c r="I75" s="71"/>
      <c r="J75" s="72"/>
      <c r="K75" s="126"/>
      <c r="L75" s="126"/>
    </row>
    <row r="76" spans="2:12" ht="45.1" hidden="1" x14ac:dyDescent="0.3">
      <c r="C76" s="16"/>
      <c r="D76" s="17" t="s">
        <v>71</v>
      </c>
      <c r="E76" s="42" t="s">
        <v>51</v>
      </c>
      <c r="F76" s="18">
        <v>0</v>
      </c>
      <c r="G76" s="69" t="s">
        <v>296</v>
      </c>
      <c r="H76" s="70" t="s">
        <v>327</v>
      </c>
      <c r="I76" s="71"/>
      <c r="J76" s="72"/>
      <c r="K76" s="126"/>
      <c r="L76" s="126"/>
    </row>
    <row r="77" spans="2:12" hidden="1" x14ac:dyDescent="0.3">
      <c r="C77" s="16"/>
      <c r="D77" s="17"/>
      <c r="E77" s="42"/>
      <c r="F77" s="18">
        <v>0</v>
      </c>
      <c r="G77" s="69"/>
      <c r="H77" s="70"/>
      <c r="I77" s="71"/>
      <c r="J77" s="72"/>
      <c r="K77" s="126"/>
      <c r="L77" s="126"/>
    </row>
    <row r="78" spans="2:12" x14ac:dyDescent="0.3">
      <c r="C78" s="16"/>
      <c r="D78" s="17"/>
      <c r="E78" s="42"/>
      <c r="F78" s="18">
        <v>0</v>
      </c>
      <c r="G78" s="69"/>
      <c r="H78" s="70"/>
      <c r="I78" s="71"/>
      <c r="J78" s="72"/>
      <c r="K78" s="126"/>
      <c r="L78" s="126"/>
    </row>
    <row r="79" spans="2:12" x14ac:dyDescent="0.3">
      <c r="C79" s="13"/>
      <c r="D79" s="14" t="s">
        <v>384</v>
      </c>
      <c r="E79" s="41"/>
      <c r="F79" s="15">
        <v>0</v>
      </c>
      <c r="G79" s="69"/>
      <c r="H79" s="70"/>
      <c r="I79" s="71"/>
      <c r="J79" s="72"/>
      <c r="K79" s="126"/>
      <c r="L79" s="126"/>
    </row>
    <row r="80" spans="2:12" x14ac:dyDescent="0.3">
      <c r="C80" s="16"/>
      <c r="D80" s="17"/>
      <c r="E80" s="42"/>
      <c r="F80" s="18">
        <v>0</v>
      </c>
      <c r="G80" s="69"/>
      <c r="H80" s="70"/>
      <c r="I80" s="71"/>
      <c r="J80" s="72"/>
      <c r="K80" s="126"/>
      <c r="L80" s="126"/>
    </row>
    <row r="81" spans="2:12" ht="90.2" x14ac:dyDescent="0.3">
      <c r="B81" s="59" t="s">
        <v>311</v>
      </c>
      <c r="C81" s="16"/>
      <c r="D81" s="17" t="s">
        <v>72</v>
      </c>
      <c r="E81" s="42" t="s">
        <v>56</v>
      </c>
      <c r="F81" s="18">
        <v>0</v>
      </c>
      <c r="G81" s="69" t="s">
        <v>296</v>
      </c>
      <c r="H81" s="70" t="s">
        <v>312</v>
      </c>
      <c r="I81" s="71" t="s">
        <v>311</v>
      </c>
      <c r="J81" s="81" t="s">
        <v>314</v>
      </c>
      <c r="K81" s="126">
        <v>38.5</v>
      </c>
      <c r="L81" s="126">
        <f>K81*F81</f>
        <v>0</v>
      </c>
    </row>
    <row r="82" spans="2:12" hidden="1" x14ac:dyDescent="0.3">
      <c r="C82" s="16"/>
      <c r="D82" s="17"/>
      <c r="E82" s="42"/>
      <c r="F82" s="18">
        <v>0</v>
      </c>
      <c r="G82" s="69"/>
      <c r="H82" s="70"/>
      <c r="I82" s="71"/>
      <c r="J82" s="72"/>
      <c r="K82" s="126"/>
      <c r="L82" s="126"/>
    </row>
    <row r="83" spans="2:12" ht="75.150000000000006" hidden="1" x14ac:dyDescent="0.3">
      <c r="B83" s="59" t="s">
        <v>355</v>
      </c>
      <c r="C83" s="16"/>
      <c r="D83" s="17" t="s">
        <v>386</v>
      </c>
      <c r="E83" s="42" t="s">
        <v>56</v>
      </c>
      <c r="F83" s="18">
        <v>0</v>
      </c>
      <c r="G83" s="69" t="s">
        <v>296</v>
      </c>
      <c r="H83" s="70" t="s">
        <v>357</v>
      </c>
      <c r="I83" s="71" t="s">
        <v>355</v>
      </c>
      <c r="J83" s="81" t="s">
        <v>359</v>
      </c>
      <c r="K83" s="126"/>
      <c r="L83" s="126"/>
    </row>
    <row r="84" spans="2:12" x14ac:dyDescent="0.3">
      <c r="C84" s="16"/>
      <c r="D84" s="17"/>
      <c r="E84" s="42"/>
      <c r="F84" s="18">
        <v>0</v>
      </c>
      <c r="G84" s="69"/>
      <c r="H84" s="70"/>
      <c r="I84" s="71"/>
      <c r="J84" s="72"/>
      <c r="K84" s="126"/>
      <c r="L84" s="126"/>
    </row>
    <row r="85" spans="2:12" ht="45.1" x14ac:dyDescent="0.3">
      <c r="C85" s="13"/>
      <c r="D85" s="14" t="s">
        <v>73</v>
      </c>
      <c r="E85" s="41"/>
      <c r="F85" s="15">
        <v>0</v>
      </c>
      <c r="G85" s="69"/>
      <c r="H85" s="70"/>
      <c r="I85" s="71"/>
      <c r="J85" s="72"/>
      <c r="K85" s="126"/>
      <c r="L85" s="126"/>
    </row>
    <row r="86" spans="2:12" x14ac:dyDescent="0.3">
      <c r="C86" s="16"/>
      <c r="D86" s="17"/>
      <c r="E86" s="42"/>
      <c r="F86" s="18">
        <v>0</v>
      </c>
      <c r="G86" s="69"/>
      <c r="H86" s="70"/>
      <c r="I86" s="71"/>
      <c r="J86" s="72"/>
      <c r="K86" s="126"/>
      <c r="L86" s="126"/>
    </row>
    <row r="87" spans="2:12" x14ac:dyDescent="0.3">
      <c r="B87" s="59" t="s">
        <v>311</v>
      </c>
      <c r="C87" s="16"/>
      <c r="D87" s="17" t="s">
        <v>388</v>
      </c>
      <c r="E87" s="42" t="s">
        <v>56</v>
      </c>
      <c r="F87" s="18">
        <v>0</v>
      </c>
      <c r="G87" s="69" t="s">
        <v>296</v>
      </c>
      <c r="H87" s="70" t="s">
        <v>312</v>
      </c>
      <c r="I87" s="71" t="s">
        <v>311</v>
      </c>
      <c r="J87" s="81" t="s">
        <v>314</v>
      </c>
      <c r="K87" s="126">
        <v>15.5</v>
      </c>
      <c r="L87" s="126">
        <f>K87*F87</f>
        <v>0</v>
      </c>
    </row>
    <row r="88" spans="2:12" hidden="1" x14ac:dyDescent="0.3">
      <c r="C88" s="16"/>
      <c r="D88" s="17"/>
      <c r="E88" s="42"/>
      <c r="F88" s="18">
        <v>0</v>
      </c>
      <c r="G88" s="69"/>
      <c r="H88" s="70"/>
      <c r="I88" s="71"/>
      <c r="J88" s="72"/>
      <c r="K88" s="126"/>
      <c r="L88" s="126"/>
    </row>
    <row r="89" spans="2:12" ht="30.05" hidden="1" x14ac:dyDescent="0.3">
      <c r="B89" s="59" t="s">
        <v>355</v>
      </c>
      <c r="C89" s="16"/>
      <c r="D89" s="17" t="s">
        <v>387</v>
      </c>
      <c r="E89" s="42" t="s">
        <v>56</v>
      </c>
      <c r="F89" s="18">
        <v>0</v>
      </c>
      <c r="G89" s="69" t="s">
        <v>296</v>
      </c>
      <c r="H89" s="70" t="s">
        <v>357</v>
      </c>
      <c r="I89" s="71" t="s">
        <v>355</v>
      </c>
      <c r="J89" s="81" t="s">
        <v>358</v>
      </c>
      <c r="K89" s="126"/>
      <c r="L89" s="126"/>
    </row>
    <row r="90" spans="2:12" x14ac:dyDescent="0.3">
      <c r="C90" s="19"/>
      <c r="D90" s="20"/>
      <c r="E90" s="43"/>
      <c r="F90" s="21">
        <v>0</v>
      </c>
      <c r="G90" s="73"/>
      <c r="H90" s="74"/>
      <c r="I90" s="75"/>
      <c r="J90" s="76"/>
      <c r="K90" s="127"/>
      <c r="L90" s="127"/>
    </row>
    <row r="91" spans="2:12" x14ac:dyDescent="0.3">
      <c r="C91" s="22"/>
      <c r="D91" s="23"/>
      <c r="E91" s="45"/>
      <c r="F91" s="24">
        <v>0</v>
      </c>
      <c r="G91" s="77"/>
      <c r="H91" s="78"/>
      <c r="I91" s="79"/>
      <c r="J91" s="80"/>
      <c r="K91" s="128"/>
      <c r="L91" s="128"/>
    </row>
    <row r="92" spans="2:12" ht="30.05" x14ac:dyDescent="0.3">
      <c r="C92" s="13"/>
      <c r="D92" s="14" t="s">
        <v>74</v>
      </c>
      <c r="E92" s="41" t="s">
        <v>46</v>
      </c>
      <c r="F92" s="15">
        <v>0</v>
      </c>
      <c r="G92" s="69"/>
      <c r="H92" s="70"/>
      <c r="I92" s="71"/>
      <c r="J92" s="72"/>
      <c r="K92" s="126"/>
      <c r="L92" s="126"/>
    </row>
    <row r="93" spans="2:12" x14ac:dyDescent="0.3">
      <c r="C93" s="16"/>
      <c r="D93" s="17"/>
      <c r="E93" s="42"/>
      <c r="F93" s="18">
        <v>0</v>
      </c>
      <c r="G93" s="69"/>
      <c r="H93" s="70"/>
      <c r="I93" s="71"/>
      <c r="J93" s="72"/>
      <c r="K93" s="126"/>
      <c r="L93" s="126"/>
    </row>
    <row r="94" spans="2:12" ht="90.2" x14ac:dyDescent="0.3">
      <c r="C94" s="13"/>
      <c r="D94" s="14" t="s">
        <v>662</v>
      </c>
      <c r="E94" s="41"/>
      <c r="F94" s="15">
        <v>0</v>
      </c>
      <c r="G94" s="69"/>
      <c r="H94" s="70"/>
      <c r="I94" s="71"/>
      <c r="J94" s="72"/>
      <c r="K94" s="126"/>
      <c r="L94" s="126"/>
    </row>
    <row r="95" spans="2:12" x14ac:dyDescent="0.3">
      <c r="C95" s="16"/>
      <c r="D95" s="17"/>
      <c r="E95" s="42"/>
      <c r="F95" s="18">
        <v>0</v>
      </c>
      <c r="G95" s="69"/>
      <c r="H95" s="70"/>
      <c r="I95" s="71"/>
      <c r="J95" s="72"/>
      <c r="K95" s="126"/>
      <c r="L95" s="126"/>
    </row>
    <row r="96" spans="2:12" ht="30.05" hidden="1" x14ac:dyDescent="0.3">
      <c r="C96" s="13"/>
      <c r="D96" s="14" t="s">
        <v>75</v>
      </c>
      <c r="E96" s="41"/>
      <c r="F96" s="15">
        <v>0</v>
      </c>
      <c r="G96" s="69"/>
      <c r="H96" s="70"/>
      <c r="I96" s="71"/>
      <c r="J96" s="72"/>
      <c r="K96" s="126"/>
      <c r="L96" s="126"/>
    </row>
    <row r="97" spans="2:12" hidden="1" x14ac:dyDescent="0.3">
      <c r="C97" s="16"/>
      <c r="D97" s="17"/>
      <c r="E97" s="42"/>
      <c r="F97" s="18">
        <v>0</v>
      </c>
      <c r="G97" s="69"/>
      <c r="H97" s="70"/>
      <c r="I97" s="71"/>
      <c r="J97" s="72"/>
      <c r="K97" s="126"/>
      <c r="L97" s="126"/>
    </row>
    <row r="98" spans="2:12" hidden="1" x14ac:dyDescent="0.3">
      <c r="C98" s="13"/>
      <c r="D98" s="14" t="s">
        <v>76</v>
      </c>
      <c r="E98" s="41"/>
      <c r="F98" s="15">
        <v>0</v>
      </c>
      <c r="G98" s="69"/>
      <c r="H98" s="70"/>
      <c r="I98" s="71"/>
      <c r="J98" s="72"/>
      <c r="K98" s="126"/>
      <c r="L98" s="126"/>
    </row>
    <row r="99" spans="2:12" hidden="1" x14ac:dyDescent="0.3">
      <c r="C99" s="16"/>
      <c r="D99" s="17"/>
      <c r="E99" s="42"/>
      <c r="F99" s="18">
        <v>0</v>
      </c>
      <c r="G99" s="69"/>
      <c r="H99" s="70"/>
      <c r="I99" s="71"/>
      <c r="J99" s="72"/>
      <c r="K99" s="126"/>
      <c r="L99" s="126"/>
    </row>
    <row r="100" spans="2:12" hidden="1" x14ac:dyDescent="0.3">
      <c r="B100" s="59" t="s">
        <v>355</v>
      </c>
      <c r="C100" s="16"/>
      <c r="D100" s="17" t="s">
        <v>389</v>
      </c>
      <c r="E100" s="42" t="s">
        <v>59</v>
      </c>
      <c r="F100" s="18">
        <v>0</v>
      </c>
      <c r="G100" s="69"/>
      <c r="H100" s="70" t="s">
        <v>357</v>
      </c>
      <c r="I100" s="71" t="s">
        <v>355</v>
      </c>
      <c r="J100" s="81" t="s">
        <v>356</v>
      </c>
      <c r="K100" s="126"/>
      <c r="L100" s="126"/>
    </row>
    <row r="101" spans="2:12" hidden="1" x14ac:dyDescent="0.3">
      <c r="C101" s="16"/>
      <c r="D101" s="17"/>
      <c r="E101" s="42"/>
      <c r="F101" s="18">
        <v>0</v>
      </c>
      <c r="G101" s="69"/>
      <c r="H101" s="70"/>
      <c r="I101" s="71"/>
      <c r="J101" s="72"/>
      <c r="K101" s="126"/>
      <c r="L101" s="126"/>
    </row>
    <row r="102" spans="2:12" ht="45.1" hidden="1" x14ac:dyDescent="0.3">
      <c r="C102" s="13"/>
      <c r="D102" s="14" t="s">
        <v>77</v>
      </c>
      <c r="E102" s="41"/>
      <c r="F102" s="15">
        <v>0</v>
      </c>
      <c r="G102" s="69"/>
      <c r="H102" s="70"/>
      <c r="I102" s="71"/>
      <c r="J102" s="72"/>
      <c r="K102" s="126"/>
      <c r="L102" s="126"/>
    </row>
    <row r="103" spans="2:12" hidden="1" x14ac:dyDescent="0.3">
      <c r="C103" s="16"/>
      <c r="D103" s="17"/>
      <c r="E103" s="42"/>
      <c r="F103" s="18">
        <v>0</v>
      </c>
      <c r="G103" s="69"/>
      <c r="H103" s="70"/>
      <c r="I103" s="71"/>
      <c r="J103" s="72"/>
      <c r="K103" s="126"/>
      <c r="L103" s="126"/>
    </row>
    <row r="104" spans="2:12" hidden="1" x14ac:dyDescent="0.3">
      <c r="C104" s="13"/>
      <c r="D104" s="14" t="s">
        <v>76</v>
      </c>
      <c r="E104" s="41"/>
      <c r="F104" s="15">
        <v>0</v>
      </c>
      <c r="G104" s="69"/>
      <c r="H104" s="70"/>
      <c r="I104" s="71"/>
      <c r="J104" s="72"/>
      <c r="K104" s="126"/>
      <c r="L104" s="126"/>
    </row>
    <row r="105" spans="2:12" hidden="1" x14ac:dyDescent="0.3">
      <c r="C105" s="16"/>
      <c r="D105" s="17"/>
      <c r="E105" s="42"/>
      <c r="F105" s="18">
        <v>0</v>
      </c>
      <c r="G105" s="69"/>
      <c r="H105" s="70"/>
      <c r="I105" s="71"/>
      <c r="J105" s="72"/>
      <c r="K105" s="126"/>
      <c r="L105" s="126"/>
    </row>
    <row r="106" spans="2:12" hidden="1" x14ac:dyDescent="0.3">
      <c r="B106" s="59" t="s">
        <v>311</v>
      </c>
      <c r="C106" s="16"/>
      <c r="D106" s="17" t="s">
        <v>663</v>
      </c>
      <c r="E106" s="42" t="s">
        <v>59</v>
      </c>
      <c r="F106" s="18">
        <v>0</v>
      </c>
      <c r="G106" s="69"/>
      <c r="H106" s="70" t="s">
        <v>312</v>
      </c>
      <c r="I106" s="71" t="s">
        <v>311</v>
      </c>
      <c r="J106" s="81" t="s">
        <v>364</v>
      </c>
      <c r="K106" s="126"/>
      <c r="L106" s="126"/>
    </row>
    <row r="107" spans="2:12" hidden="1" x14ac:dyDescent="0.3">
      <c r="C107" s="16"/>
      <c r="D107" s="17"/>
      <c r="E107" s="42"/>
      <c r="F107" s="18">
        <v>0</v>
      </c>
      <c r="G107" s="69"/>
      <c r="H107" s="70"/>
      <c r="I107" s="71"/>
      <c r="J107" s="72"/>
      <c r="K107" s="126"/>
      <c r="L107" s="126"/>
    </row>
    <row r="108" spans="2:12" ht="30.05" hidden="1" x14ac:dyDescent="0.3">
      <c r="C108" s="13"/>
      <c r="D108" s="14" t="s">
        <v>78</v>
      </c>
      <c r="E108" s="41"/>
      <c r="F108" s="15">
        <v>0</v>
      </c>
      <c r="G108" s="69"/>
      <c r="H108" s="70"/>
      <c r="I108" s="71"/>
      <c r="J108" s="72"/>
      <c r="K108" s="126"/>
      <c r="L108" s="126"/>
    </row>
    <row r="109" spans="2:12" hidden="1" x14ac:dyDescent="0.3">
      <c r="C109" s="16"/>
      <c r="D109" s="17"/>
      <c r="E109" s="42"/>
      <c r="F109" s="18">
        <v>0</v>
      </c>
      <c r="G109" s="69"/>
      <c r="H109" s="70"/>
      <c r="I109" s="71"/>
      <c r="J109" s="72"/>
      <c r="K109" s="126"/>
      <c r="L109" s="126"/>
    </row>
    <row r="110" spans="2:12" ht="30.05" hidden="1" x14ac:dyDescent="0.3">
      <c r="B110" s="59" t="s">
        <v>335</v>
      </c>
      <c r="C110" s="16"/>
      <c r="D110" s="17" t="s">
        <v>390</v>
      </c>
      <c r="E110" s="42" t="s">
        <v>59</v>
      </c>
      <c r="F110" s="18">
        <v>0</v>
      </c>
      <c r="G110" s="69"/>
      <c r="H110" s="70" t="s">
        <v>312</v>
      </c>
      <c r="I110" s="71" t="s">
        <v>335</v>
      </c>
      <c r="J110" s="81" t="s">
        <v>365</v>
      </c>
      <c r="K110" s="126"/>
      <c r="L110" s="126"/>
    </row>
    <row r="111" spans="2:12" hidden="1" x14ac:dyDescent="0.3">
      <c r="B111" s="59" t="s">
        <v>330</v>
      </c>
      <c r="C111" s="16"/>
      <c r="D111" s="17"/>
      <c r="E111" s="42"/>
      <c r="F111" s="18">
        <v>0</v>
      </c>
      <c r="G111" s="69"/>
      <c r="H111" s="70" t="s">
        <v>312</v>
      </c>
      <c r="I111" s="71" t="s">
        <v>330</v>
      </c>
      <c r="J111" s="72"/>
      <c r="K111" s="126"/>
      <c r="L111" s="126"/>
    </row>
    <row r="112" spans="2:12" hidden="1" x14ac:dyDescent="0.3">
      <c r="B112" s="59" t="s">
        <v>337</v>
      </c>
      <c r="C112" s="16"/>
      <c r="D112" s="17"/>
      <c r="E112" s="42"/>
      <c r="F112" s="18">
        <v>0</v>
      </c>
      <c r="G112" s="69"/>
      <c r="H112" s="70" t="s">
        <v>312</v>
      </c>
      <c r="I112" s="71" t="s">
        <v>337</v>
      </c>
      <c r="J112" s="72"/>
      <c r="K112" s="126"/>
      <c r="L112" s="126"/>
    </row>
    <row r="113" spans="2:12" hidden="1" x14ac:dyDescent="0.3">
      <c r="C113" s="16"/>
      <c r="D113" s="17"/>
      <c r="E113" s="42"/>
      <c r="F113" s="18">
        <v>0</v>
      </c>
      <c r="G113" s="69"/>
      <c r="H113" s="70"/>
      <c r="I113" s="71"/>
      <c r="J113" s="72"/>
      <c r="K113" s="126"/>
      <c r="L113" s="126"/>
    </row>
    <row r="114" spans="2:12" hidden="1" x14ac:dyDescent="0.3">
      <c r="C114" s="16"/>
      <c r="D114" s="17" t="s">
        <v>391</v>
      </c>
      <c r="E114" s="42" t="s">
        <v>59</v>
      </c>
      <c r="F114" s="18">
        <v>0</v>
      </c>
      <c r="G114" s="69"/>
      <c r="H114" s="70"/>
      <c r="I114" s="71"/>
      <c r="J114" s="72"/>
      <c r="K114" s="126"/>
      <c r="L114" s="126"/>
    </row>
    <row r="115" spans="2:12" hidden="1" x14ac:dyDescent="0.3">
      <c r="C115" s="16"/>
      <c r="D115" s="17"/>
      <c r="E115" s="42"/>
      <c r="F115" s="18">
        <v>0</v>
      </c>
      <c r="G115" s="69" t="s">
        <v>290</v>
      </c>
      <c r="H115" s="70"/>
      <c r="I115" s="71"/>
      <c r="J115" s="72"/>
      <c r="K115" s="126"/>
      <c r="L115" s="126"/>
    </row>
    <row r="116" spans="2:12" hidden="1" x14ac:dyDescent="0.3">
      <c r="C116" s="13"/>
      <c r="D116" s="14" t="s">
        <v>79</v>
      </c>
      <c r="E116" s="41"/>
      <c r="F116" s="15">
        <v>0</v>
      </c>
      <c r="G116" s="69"/>
      <c r="H116" s="70"/>
      <c r="I116" s="71"/>
      <c r="J116" s="72"/>
      <c r="K116" s="126"/>
      <c r="L116" s="126"/>
    </row>
    <row r="117" spans="2:12" hidden="1" x14ac:dyDescent="0.3">
      <c r="C117" s="16"/>
      <c r="D117" s="17"/>
      <c r="E117" s="42"/>
      <c r="F117" s="18">
        <v>0</v>
      </c>
      <c r="G117" s="69"/>
      <c r="H117" s="70"/>
      <c r="I117" s="71"/>
      <c r="J117" s="72"/>
      <c r="K117" s="126"/>
      <c r="L117" s="126"/>
    </row>
    <row r="118" spans="2:12" hidden="1" x14ac:dyDescent="0.3">
      <c r="C118" s="16"/>
      <c r="D118" s="17" t="s">
        <v>664</v>
      </c>
      <c r="E118" s="42" t="s">
        <v>29</v>
      </c>
      <c r="F118" s="18">
        <v>0</v>
      </c>
      <c r="G118" s="69"/>
      <c r="H118" s="70" t="s">
        <v>327</v>
      </c>
      <c r="I118" s="71"/>
      <c r="J118" s="72"/>
      <c r="K118" s="126"/>
      <c r="L118" s="126"/>
    </row>
    <row r="119" spans="2:12" hidden="1" x14ac:dyDescent="0.3">
      <c r="C119" s="16"/>
      <c r="D119" s="17"/>
      <c r="E119" s="42"/>
      <c r="F119" s="18">
        <v>0</v>
      </c>
      <c r="G119" s="69"/>
      <c r="H119" s="70"/>
      <c r="I119" s="71"/>
      <c r="J119" s="72"/>
      <c r="K119" s="126"/>
      <c r="L119" s="126"/>
    </row>
    <row r="120" spans="2:12" hidden="1" x14ac:dyDescent="0.3">
      <c r="B120" s="59" t="s">
        <v>335</v>
      </c>
      <c r="C120" s="16"/>
      <c r="D120" s="17" t="s">
        <v>392</v>
      </c>
      <c r="E120" s="42" t="s">
        <v>59</v>
      </c>
      <c r="F120" s="18">
        <v>0</v>
      </c>
      <c r="G120" s="69"/>
      <c r="H120" s="70" t="s">
        <v>312</v>
      </c>
      <c r="I120" s="71" t="s">
        <v>335</v>
      </c>
      <c r="J120" s="81" t="s">
        <v>365</v>
      </c>
      <c r="K120" s="126"/>
      <c r="L120" s="126"/>
    </row>
    <row r="121" spans="2:12" hidden="1" x14ac:dyDescent="0.3">
      <c r="B121" s="59" t="s">
        <v>330</v>
      </c>
      <c r="C121" s="16"/>
      <c r="D121" s="17"/>
      <c r="E121" s="42"/>
      <c r="F121" s="18">
        <v>0</v>
      </c>
      <c r="G121" s="69"/>
      <c r="H121" s="70" t="s">
        <v>312</v>
      </c>
      <c r="I121" s="71" t="s">
        <v>330</v>
      </c>
      <c r="J121" s="72"/>
      <c r="K121" s="126"/>
      <c r="L121" s="126"/>
    </row>
    <row r="122" spans="2:12" hidden="1" x14ac:dyDescent="0.3">
      <c r="B122" s="59" t="s">
        <v>337</v>
      </c>
      <c r="C122" s="16"/>
      <c r="D122" s="17"/>
      <c r="E122" s="42"/>
      <c r="F122" s="18">
        <v>0</v>
      </c>
      <c r="G122" s="69"/>
      <c r="H122" s="70" t="s">
        <v>312</v>
      </c>
      <c r="I122" s="71" t="s">
        <v>337</v>
      </c>
      <c r="J122" s="72"/>
      <c r="K122" s="126"/>
      <c r="L122" s="126"/>
    </row>
    <row r="123" spans="2:12" hidden="1" x14ac:dyDescent="0.3">
      <c r="C123" s="16"/>
      <c r="D123" s="17"/>
      <c r="E123" s="42"/>
      <c r="F123" s="18">
        <v>0</v>
      </c>
      <c r="G123" s="69"/>
      <c r="H123" s="70"/>
      <c r="I123" s="71"/>
      <c r="J123" s="72"/>
      <c r="K123" s="126"/>
      <c r="L123" s="126"/>
    </row>
    <row r="124" spans="2:12" hidden="1" x14ac:dyDescent="0.3">
      <c r="C124" s="13"/>
      <c r="D124" s="14" t="s">
        <v>80</v>
      </c>
      <c r="E124" s="41"/>
      <c r="F124" s="15">
        <v>0</v>
      </c>
      <c r="G124" s="69"/>
      <c r="H124" s="70"/>
      <c r="I124" s="71"/>
      <c r="J124" s="72"/>
      <c r="K124" s="126"/>
      <c r="L124" s="126"/>
    </row>
    <row r="125" spans="2:12" hidden="1" x14ac:dyDescent="0.3">
      <c r="C125" s="16"/>
      <c r="D125" s="17"/>
      <c r="E125" s="42"/>
      <c r="F125" s="18">
        <v>0</v>
      </c>
      <c r="G125" s="69"/>
      <c r="H125" s="70"/>
      <c r="I125" s="71"/>
      <c r="J125" s="72"/>
      <c r="K125" s="126"/>
      <c r="L125" s="126"/>
    </row>
    <row r="126" spans="2:12" ht="30.05" hidden="1" x14ac:dyDescent="0.3">
      <c r="C126" s="13"/>
      <c r="D126" s="14" t="s">
        <v>81</v>
      </c>
      <c r="E126" s="41"/>
      <c r="F126" s="15">
        <v>0</v>
      </c>
      <c r="G126" s="69"/>
      <c r="H126" s="70"/>
      <c r="I126" s="71"/>
      <c r="J126" s="72"/>
      <c r="K126" s="126"/>
      <c r="L126" s="126"/>
    </row>
    <row r="127" spans="2:12" hidden="1" x14ac:dyDescent="0.3">
      <c r="C127" s="16"/>
      <c r="D127" s="17"/>
      <c r="E127" s="42"/>
      <c r="F127" s="18">
        <v>0</v>
      </c>
      <c r="G127" s="69"/>
      <c r="H127" s="70"/>
      <c r="I127" s="71"/>
      <c r="J127" s="72"/>
      <c r="K127" s="126"/>
      <c r="L127" s="126"/>
    </row>
    <row r="128" spans="2:12" ht="30.05" hidden="1" x14ac:dyDescent="0.3">
      <c r="C128" s="16"/>
      <c r="D128" s="17" t="s">
        <v>82</v>
      </c>
      <c r="E128" s="42" t="s">
        <v>29</v>
      </c>
      <c r="F128" s="18">
        <v>0</v>
      </c>
      <c r="G128" s="69"/>
      <c r="H128" s="70" t="s">
        <v>327</v>
      </c>
      <c r="I128" s="71"/>
      <c r="J128" s="72"/>
      <c r="K128" s="126"/>
      <c r="L128" s="126"/>
    </row>
    <row r="129" spans="2:12" hidden="1" x14ac:dyDescent="0.3">
      <c r="C129" s="16"/>
      <c r="D129" s="17"/>
      <c r="E129" s="42"/>
      <c r="F129" s="18">
        <v>0</v>
      </c>
      <c r="G129" s="69"/>
      <c r="H129" s="70"/>
      <c r="I129" s="71"/>
      <c r="J129" s="72"/>
      <c r="K129" s="126"/>
      <c r="L129" s="126"/>
    </row>
    <row r="130" spans="2:12" x14ac:dyDescent="0.3">
      <c r="C130" s="13"/>
      <c r="D130" s="14" t="s">
        <v>83</v>
      </c>
      <c r="E130" s="41"/>
      <c r="F130" s="15">
        <v>0</v>
      </c>
      <c r="G130" s="69"/>
      <c r="H130" s="70"/>
      <c r="I130" s="71"/>
      <c r="J130" s="72"/>
      <c r="K130" s="126"/>
      <c r="L130" s="126"/>
    </row>
    <row r="131" spans="2:12" x14ac:dyDescent="0.3">
      <c r="C131" s="16"/>
      <c r="D131" s="17"/>
      <c r="E131" s="42"/>
      <c r="F131" s="18">
        <v>0</v>
      </c>
      <c r="G131" s="69"/>
      <c r="H131" s="70"/>
      <c r="I131" s="71"/>
      <c r="J131" s="72"/>
      <c r="K131" s="126"/>
      <c r="L131" s="126"/>
    </row>
    <row r="132" spans="2:12" ht="30.05" x14ac:dyDescent="0.3">
      <c r="C132" s="13"/>
      <c r="D132" s="14" t="s">
        <v>84</v>
      </c>
      <c r="E132" s="41"/>
      <c r="F132" s="15">
        <v>0</v>
      </c>
      <c r="G132" s="69"/>
      <c r="H132" s="70"/>
      <c r="I132" s="71"/>
      <c r="J132" s="72"/>
      <c r="K132" s="126"/>
      <c r="L132" s="126"/>
    </row>
    <row r="133" spans="2:12" x14ac:dyDescent="0.3">
      <c r="C133" s="16"/>
      <c r="D133" s="17"/>
      <c r="E133" s="42"/>
      <c r="F133" s="18">
        <v>0</v>
      </c>
      <c r="G133" s="69"/>
      <c r="H133" s="70"/>
      <c r="I133" s="71"/>
      <c r="J133" s="72"/>
      <c r="K133" s="126"/>
      <c r="L133" s="126"/>
    </row>
    <row r="134" spans="2:12" x14ac:dyDescent="0.3">
      <c r="B134" s="59" t="s">
        <v>311</v>
      </c>
      <c r="C134" s="16"/>
      <c r="D134" s="17" t="s">
        <v>393</v>
      </c>
      <c r="E134" s="42" t="s">
        <v>56</v>
      </c>
      <c r="F134" s="18">
        <v>0</v>
      </c>
      <c r="G134" s="69"/>
      <c r="H134" s="70" t="s">
        <v>312</v>
      </c>
      <c r="I134" s="71" t="s">
        <v>311</v>
      </c>
      <c r="J134" s="81" t="s">
        <v>366</v>
      </c>
      <c r="K134" s="126">
        <v>45</v>
      </c>
      <c r="L134" s="126">
        <f>K134*F134</f>
        <v>0</v>
      </c>
    </row>
    <row r="135" spans="2:12" hidden="1" x14ac:dyDescent="0.3">
      <c r="B135" s="59" t="s">
        <v>335</v>
      </c>
      <c r="C135" s="16"/>
      <c r="D135" s="17"/>
      <c r="E135" s="42"/>
      <c r="F135" s="18">
        <v>0</v>
      </c>
      <c r="G135" s="69"/>
      <c r="H135" s="70" t="s">
        <v>312</v>
      </c>
      <c r="I135" s="71" t="s">
        <v>335</v>
      </c>
      <c r="J135" s="72"/>
      <c r="K135" s="126"/>
      <c r="L135" s="126"/>
    </row>
    <row r="136" spans="2:12" hidden="1" x14ac:dyDescent="0.3">
      <c r="B136" s="59" t="s">
        <v>330</v>
      </c>
      <c r="C136" s="16"/>
      <c r="D136" s="17"/>
      <c r="E136" s="42"/>
      <c r="F136" s="18">
        <v>0</v>
      </c>
      <c r="G136" s="69"/>
      <c r="H136" s="70" t="s">
        <v>312</v>
      </c>
      <c r="I136" s="71" t="s">
        <v>330</v>
      </c>
      <c r="J136" s="72"/>
      <c r="K136" s="126"/>
      <c r="L136" s="126"/>
    </row>
    <row r="137" spans="2:12" hidden="1" x14ac:dyDescent="0.3">
      <c r="B137" s="59" t="s">
        <v>337</v>
      </c>
      <c r="C137" s="16"/>
      <c r="D137" s="17"/>
      <c r="E137" s="42"/>
      <c r="F137" s="18">
        <v>0</v>
      </c>
      <c r="G137" s="69"/>
      <c r="H137" s="70" t="s">
        <v>312</v>
      </c>
      <c r="I137" s="71" t="s">
        <v>337</v>
      </c>
      <c r="J137" s="72"/>
      <c r="K137" s="126"/>
      <c r="L137" s="126"/>
    </row>
    <row r="138" spans="2:12" hidden="1" x14ac:dyDescent="0.3">
      <c r="B138" s="59" t="s">
        <v>290</v>
      </c>
      <c r="C138" s="16"/>
      <c r="D138" s="17"/>
      <c r="E138" s="42"/>
      <c r="F138" s="18">
        <v>0</v>
      </c>
      <c r="G138" s="69"/>
      <c r="H138" s="70"/>
      <c r="I138" s="71"/>
      <c r="J138" s="72"/>
      <c r="K138" s="126"/>
      <c r="L138" s="126"/>
    </row>
    <row r="139" spans="2:12" hidden="1" x14ac:dyDescent="0.3">
      <c r="C139" s="16"/>
      <c r="D139" s="17" t="s">
        <v>394</v>
      </c>
      <c r="E139" s="42" t="s">
        <v>56</v>
      </c>
      <c r="F139" s="18">
        <v>0</v>
      </c>
      <c r="G139" s="69"/>
      <c r="H139" s="70"/>
      <c r="I139" s="71"/>
      <c r="J139" s="72"/>
      <c r="K139" s="126"/>
      <c r="L139" s="126"/>
    </row>
    <row r="140" spans="2:12" x14ac:dyDescent="0.3">
      <c r="C140" s="16"/>
      <c r="D140" s="17"/>
      <c r="E140" s="42"/>
      <c r="F140" s="18">
        <v>0</v>
      </c>
      <c r="G140" s="69"/>
      <c r="H140" s="70"/>
      <c r="I140" s="71"/>
      <c r="J140" s="72"/>
      <c r="K140" s="126"/>
      <c r="L140" s="126"/>
    </row>
    <row r="141" spans="2:12" ht="30.05" x14ac:dyDescent="0.3">
      <c r="C141" s="13"/>
      <c r="D141" s="14" t="s">
        <v>85</v>
      </c>
      <c r="E141" s="41"/>
      <c r="F141" s="15">
        <v>0</v>
      </c>
      <c r="G141" s="69"/>
      <c r="H141" s="70"/>
      <c r="I141" s="71"/>
      <c r="J141" s="72"/>
      <c r="K141" s="126"/>
      <c r="L141" s="126"/>
    </row>
    <row r="142" spans="2:12" hidden="1" x14ac:dyDescent="0.3">
      <c r="C142" s="16"/>
      <c r="D142" s="17"/>
      <c r="E142" s="42"/>
      <c r="F142" s="18">
        <v>0</v>
      </c>
      <c r="G142" s="69"/>
      <c r="H142" s="70"/>
      <c r="I142" s="71"/>
      <c r="J142" s="72"/>
      <c r="K142" s="126"/>
      <c r="L142" s="126"/>
    </row>
    <row r="143" spans="2:12" hidden="1" x14ac:dyDescent="0.3">
      <c r="C143" s="13"/>
      <c r="D143" s="14" t="s">
        <v>86</v>
      </c>
      <c r="E143" s="41"/>
      <c r="F143" s="15">
        <v>0</v>
      </c>
      <c r="G143" s="69"/>
      <c r="H143" s="70"/>
      <c r="I143" s="71"/>
      <c r="J143" s="72"/>
      <c r="K143" s="126"/>
      <c r="L143" s="126"/>
    </row>
    <row r="144" spans="2:12" hidden="1" x14ac:dyDescent="0.3">
      <c r="C144" s="16"/>
      <c r="D144" s="17"/>
      <c r="E144" s="42"/>
      <c r="F144" s="18">
        <v>0</v>
      </c>
      <c r="G144" s="69"/>
      <c r="H144" s="70"/>
      <c r="I144" s="71"/>
      <c r="J144" s="72"/>
      <c r="K144" s="126"/>
      <c r="L144" s="126"/>
    </row>
    <row r="145" spans="2:12" hidden="1" x14ac:dyDescent="0.3">
      <c r="C145" s="16"/>
      <c r="D145" s="17" t="s">
        <v>395</v>
      </c>
      <c r="E145" s="42" t="s">
        <v>56</v>
      </c>
      <c r="F145" s="18">
        <v>0</v>
      </c>
      <c r="G145" s="69"/>
      <c r="H145" s="70"/>
      <c r="I145" s="71"/>
      <c r="J145" s="72"/>
      <c r="K145" s="126"/>
      <c r="L145" s="126"/>
    </row>
    <row r="146" spans="2:12" x14ac:dyDescent="0.3">
      <c r="C146" s="16"/>
      <c r="D146" s="17"/>
      <c r="E146" s="42"/>
      <c r="F146" s="18">
        <v>0</v>
      </c>
      <c r="G146" s="69"/>
      <c r="H146" s="70"/>
      <c r="I146" s="71"/>
      <c r="J146" s="72"/>
      <c r="K146" s="126"/>
      <c r="L146" s="126"/>
    </row>
    <row r="147" spans="2:12" x14ac:dyDescent="0.3">
      <c r="C147" s="13"/>
      <c r="D147" s="14" t="s">
        <v>87</v>
      </c>
      <c r="E147" s="41"/>
      <c r="F147" s="15">
        <v>0</v>
      </c>
      <c r="G147" s="69"/>
      <c r="H147" s="70"/>
      <c r="I147" s="71"/>
      <c r="J147" s="72"/>
      <c r="K147" s="126"/>
      <c r="L147" s="126"/>
    </row>
    <row r="148" spans="2:12" hidden="1" x14ac:dyDescent="0.3">
      <c r="C148" s="16"/>
      <c r="D148" s="17"/>
      <c r="E148" s="42"/>
      <c r="F148" s="18">
        <v>0</v>
      </c>
      <c r="G148" s="69"/>
      <c r="H148" s="70"/>
      <c r="I148" s="71"/>
      <c r="J148" s="72"/>
      <c r="K148" s="126"/>
      <c r="L148" s="126"/>
    </row>
    <row r="149" spans="2:12" hidden="1" x14ac:dyDescent="0.3">
      <c r="C149" s="16"/>
      <c r="D149" s="17"/>
      <c r="E149" s="42"/>
      <c r="F149" s="18">
        <v>0</v>
      </c>
      <c r="G149" s="69"/>
      <c r="H149" s="70"/>
      <c r="I149" s="71"/>
      <c r="J149" s="72"/>
      <c r="K149" s="126"/>
      <c r="L149" s="126"/>
    </row>
    <row r="150" spans="2:12" ht="30.05" hidden="1" x14ac:dyDescent="0.3">
      <c r="B150" s="59" t="s">
        <v>335</v>
      </c>
      <c r="C150" s="16"/>
      <c r="D150" s="17" t="s">
        <v>396</v>
      </c>
      <c r="E150" s="42" t="s">
        <v>56</v>
      </c>
      <c r="F150" s="18">
        <v>0</v>
      </c>
      <c r="G150" s="69"/>
      <c r="H150" s="70" t="s">
        <v>312</v>
      </c>
      <c r="I150" s="71" t="s">
        <v>335</v>
      </c>
      <c r="J150" s="81" t="s">
        <v>368</v>
      </c>
      <c r="K150" s="126"/>
      <c r="L150" s="126"/>
    </row>
    <row r="151" spans="2:12" hidden="1" x14ac:dyDescent="0.3">
      <c r="B151" s="59" t="s">
        <v>337</v>
      </c>
      <c r="C151" s="16"/>
      <c r="D151" s="17"/>
      <c r="E151" s="42"/>
      <c r="F151" s="18">
        <v>0</v>
      </c>
      <c r="G151" s="69"/>
      <c r="H151" s="70" t="s">
        <v>312</v>
      </c>
      <c r="I151" s="71" t="s">
        <v>337</v>
      </c>
      <c r="J151" s="81"/>
      <c r="K151" s="126"/>
      <c r="L151" s="126"/>
    </row>
    <row r="152" spans="2:12" x14ac:dyDescent="0.3">
      <c r="C152" s="16"/>
      <c r="D152" s="17"/>
      <c r="E152" s="42"/>
      <c r="F152" s="18">
        <v>0</v>
      </c>
      <c r="G152" s="69"/>
      <c r="H152" s="70"/>
      <c r="I152" s="71"/>
      <c r="J152" s="72"/>
      <c r="K152" s="126"/>
      <c r="L152" s="126"/>
    </row>
    <row r="153" spans="2:12" ht="30.05" x14ac:dyDescent="0.3">
      <c r="B153" s="59" t="s">
        <v>330</v>
      </c>
      <c r="C153" s="16"/>
      <c r="D153" s="17" t="s">
        <v>397</v>
      </c>
      <c r="E153" s="42" t="s">
        <v>56</v>
      </c>
      <c r="F153" s="18">
        <v>0</v>
      </c>
      <c r="G153" s="69"/>
      <c r="H153" s="70" t="s">
        <v>312</v>
      </c>
      <c r="I153" s="71" t="s">
        <v>330</v>
      </c>
      <c r="J153" s="81" t="s">
        <v>367</v>
      </c>
      <c r="K153" s="126">
        <v>460</v>
      </c>
      <c r="L153" s="126">
        <f>K153*F153</f>
        <v>0</v>
      </c>
    </row>
    <row r="154" spans="2:12" x14ac:dyDescent="0.3">
      <c r="C154" s="16"/>
      <c r="D154" s="17"/>
      <c r="E154" s="42"/>
      <c r="F154" s="18">
        <v>0</v>
      </c>
      <c r="G154" s="69"/>
      <c r="H154" s="70"/>
      <c r="I154" s="71"/>
      <c r="J154" s="72"/>
      <c r="K154" s="126"/>
      <c r="L154" s="126"/>
    </row>
    <row r="155" spans="2:12" hidden="1" x14ac:dyDescent="0.3">
      <c r="C155" s="13"/>
      <c r="D155" s="14" t="s">
        <v>88</v>
      </c>
      <c r="E155" s="41"/>
      <c r="F155" s="15">
        <v>0</v>
      </c>
      <c r="G155" s="69"/>
      <c r="H155" s="70"/>
      <c r="I155" s="71"/>
      <c r="J155" s="72"/>
      <c r="K155" s="126"/>
      <c r="L155" s="126"/>
    </row>
    <row r="156" spans="2:12" hidden="1" x14ac:dyDescent="0.3">
      <c r="C156" s="16"/>
      <c r="D156" s="17"/>
      <c r="E156" s="42"/>
      <c r="F156" s="18">
        <v>0</v>
      </c>
      <c r="G156" s="69"/>
      <c r="H156" s="70"/>
      <c r="I156" s="71"/>
      <c r="J156" s="72"/>
      <c r="K156" s="126"/>
      <c r="L156" s="126"/>
    </row>
    <row r="157" spans="2:12" ht="60.1" hidden="1" x14ac:dyDescent="0.3">
      <c r="C157" s="13"/>
      <c r="D157" s="14" t="s">
        <v>89</v>
      </c>
      <c r="E157" s="41"/>
      <c r="F157" s="15">
        <v>0</v>
      </c>
      <c r="G157" s="69"/>
      <c r="H157" s="70"/>
      <c r="I157" s="71"/>
      <c r="J157" s="72"/>
      <c r="K157" s="126"/>
      <c r="L157" s="126"/>
    </row>
    <row r="158" spans="2:12" hidden="1" x14ac:dyDescent="0.3">
      <c r="C158" s="16"/>
      <c r="D158" s="17"/>
      <c r="E158" s="42"/>
      <c r="F158" s="18">
        <v>0</v>
      </c>
      <c r="G158" s="69"/>
      <c r="H158" s="70"/>
      <c r="I158" s="71"/>
      <c r="J158" s="72"/>
      <c r="K158" s="126"/>
      <c r="L158" s="126"/>
    </row>
    <row r="159" spans="2:12" hidden="1" x14ac:dyDescent="0.3">
      <c r="C159" s="16"/>
      <c r="D159" s="17" t="s">
        <v>398</v>
      </c>
      <c r="E159" s="42" t="s">
        <v>90</v>
      </c>
      <c r="F159" s="18">
        <v>0</v>
      </c>
      <c r="G159" s="69"/>
      <c r="H159" s="70"/>
      <c r="I159" s="71"/>
      <c r="J159" s="72"/>
      <c r="K159" s="126"/>
      <c r="L159" s="126"/>
    </row>
    <row r="160" spans="2:12" hidden="1" x14ac:dyDescent="0.3">
      <c r="C160" s="16"/>
      <c r="D160" s="17"/>
      <c r="E160" s="42"/>
      <c r="F160" s="18">
        <v>0</v>
      </c>
      <c r="G160" s="69"/>
      <c r="H160" s="70"/>
      <c r="I160" s="71"/>
      <c r="J160" s="72"/>
      <c r="K160" s="126"/>
      <c r="L160" s="126"/>
    </row>
    <row r="161" spans="2:12" x14ac:dyDescent="0.3">
      <c r="C161" s="13"/>
      <c r="D161" s="14" t="s">
        <v>91</v>
      </c>
      <c r="E161" s="41"/>
      <c r="F161" s="15">
        <v>0</v>
      </c>
      <c r="G161" s="69"/>
      <c r="H161" s="70"/>
      <c r="I161" s="71"/>
      <c r="J161" s="72"/>
      <c r="K161" s="126"/>
      <c r="L161" s="126"/>
    </row>
    <row r="162" spans="2:12" x14ac:dyDescent="0.3">
      <c r="C162" s="16"/>
      <c r="D162" s="17"/>
      <c r="E162" s="42"/>
      <c r="F162" s="18">
        <v>0</v>
      </c>
      <c r="G162" s="69"/>
      <c r="H162" s="70"/>
      <c r="I162" s="71"/>
      <c r="J162" s="72"/>
      <c r="K162" s="126"/>
      <c r="L162" s="126"/>
    </row>
    <row r="163" spans="2:12" x14ac:dyDescent="0.3">
      <c r="C163" s="13"/>
      <c r="D163" s="14" t="s">
        <v>92</v>
      </c>
      <c r="E163" s="41"/>
      <c r="F163" s="15">
        <v>0</v>
      </c>
      <c r="G163" s="69"/>
      <c r="H163" s="70"/>
      <c r="I163" s="71"/>
      <c r="J163" s="72"/>
      <c r="K163" s="126"/>
      <c r="L163" s="126"/>
    </row>
    <row r="164" spans="2:12" x14ac:dyDescent="0.3">
      <c r="C164" s="16"/>
      <c r="D164" s="17"/>
      <c r="E164" s="42"/>
      <c r="F164" s="18">
        <v>0</v>
      </c>
      <c r="G164" s="69"/>
      <c r="H164" s="70"/>
      <c r="I164" s="71"/>
      <c r="J164" s="72"/>
      <c r="K164" s="126"/>
      <c r="L164" s="126"/>
    </row>
    <row r="165" spans="2:12" ht="30.05" x14ac:dyDescent="0.3">
      <c r="B165" s="59" t="s">
        <v>311</v>
      </c>
      <c r="C165" s="16"/>
      <c r="D165" s="17" t="s">
        <v>93</v>
      </c>
      <c r="E165" s="42" t="s">
        <v>56</v>
      </c>
      <c r="F165" s="18">
        <v>0</v>
      </c>
      <c r="G165" s="69"/>
      <c r="H165" s="70" t="s">
        <v>312</v>
      </c>
      <c r="I165" s="71" t="s">
        <v>311</v>
      </c>
      <c r="J165" s="72" t="s">
        <v>312</v>
      </c>
      <c r="K165" s="126">
        <v>38.5</v>
      </c>
      <c r="L165" s="126">
        <f>K165*F165</f>
        <v>0</v>
      </c>
    </row>
    <row r="166" spans="2:12" x14ac:dyDescent="0.3">
      <c r="C166" s="16"/>
      <c r="D166" s="17"/>
      <c r="E166" s="42"/>
      <c r="F166" s="18">
        <v>0</v>
      </c>
      <c r="G166" s="69"/>
      <c r="H166" s="70"/>
      <c r="I166" s="71"/>
      <c r="J166" s="72"/>
      <c r="K166" s="126"/>
      <c r="L166" s="126"/>
    </row>
    <row r="167" spans="2:12" ht="30.05" hidden="1" x14ac:dyDescent="0.3">
      <c r="C167" s="13"/>
      <c r="D167" s="14" t="s">
        <v>94</v>
      </c>
      <c r="E167" s="41"/>
      <c r="F167" s="15">
        <v>0</v>
      </c>
      <c r="G167" s="69"/>
      <c r="H167" s="70"/>
      <c r="I167" s="71"/>
      <c r="J167" s="72"/>
      <c r="K167" s="126"/>
      <c r="L167" s="126"/>
    </row>
    <row r="168" spans="2:12" hidden="1" x14ac:dyDescent="0.3">
      <c r="C168" s="16"/>
      <c r="D168" s="17"/>
      <c r="E168" s="42"/>
      <c r="F168" s="18">
        <v>0</v>
      </c>
      <c r="G168" s="69"/>
      <c r="H168" s="70"/>
      <c r="I168" s="71"/>
      <c r="J168" s="72"/>
      <c r="K168" s="126"/>
      <c r="L168" s="126"/>
    </row>
    <row r="169" spans="2:12" ht="30.05" hidden="1" x14ac:dyDescent="0.3">
      <c r="B169" s="59" t="s">
        <v>355</v>
      </c>
      <c r="C169" s="16"/>
      <c r="D169" s="17" t="s">
        <v>399</v>
      </c>
      <c r="E169" s="42" t="s">
        <v>95</v>
      </c>
      <c r="F169" s="18">
        <v>0</v>
      </c>
      <c r="G169" s="69"/>
      <c r="H169" s="70" t="s">
        <v>357</v>
      </c>
      <c r="I169" s="71" t="s">
        <v>355</v>
      </c>
      <c r="J169" s="81" t="s">
        <v>370</v>
      </c>
      <c r="K169" s="126"/>
      <c r="L169" s="126"/>
    </row>
    <row r="170" spans="2:12" hidden="1" x14ac:dyDescent="0.3">
      <c r="C170" s="16"/>
      <c r="D170" s="17"/>
      <c r="E170" s="42"/>
      <c r="F170" s="18">
        <v>0</v>
      </c>
      <c r="G170" s="69"/>
      <c r="H170" s="70"/>
      <c r="I170" s="71"/>
      <c r="J170" s="72"/>
      <c r="K170" s="126"/>
      <c r="L170" s="126"/>
    </row>
    <row r="171" spans="2:12" ht="30.05" hidden="1" x14ac:dyDescent="0.3">
      <c r="B171" s="59" t="s">
        <v>335</v>
      </c>
      <c r="C171" s="16"/>
      <c r="D171" s="17" t="s">
        <v>665</v>
      </c>
      <c r="E171" s="42" t="s">
        <v>95</v>
      </c>
      <c r="F171" s="18">
        <v>0</v>
      </c>
      <c r="G171" s="69"/>
      <c r="H171" s="70" t="s">
        <v>312</v>
      </c>
      <c r="I171" s="71" t="s">
        <v>335</v>
      </c>
      <c r="J171" s="81" t="s">
        <v>369</v>
      </c>
      <c r="K171" s="126"/>
      <c r="L171" s="126"/>
    </row>
    <row r="172" spans="2:12" hidden="1" x14ac:dyDescent="0.3">
      <c r="B172" s="59" t="s">
        <v>337</v>
      </c>
      <c r="C172" s="16"/>
      <c r="D172" s="17"/>
      <c r="E172" s="42"/>
      <c r="F172" s="18">
        <v>0</v>
      </c>
      <c r="G172" s="69"/>
      <c r="H172" s="70" t="s">
        <v>312</v>
      </c>
      <c r="I172" s="71" t="s">
        <v>337</v>
      </c>
      <c r="J172" s="72"/>
      <c r="K172" s="126"/>
      <c r="L172" s="126"/>
    </row>
    <row r="173" spans="2:12" hidden="1" x14ac:dyDescent="0.3">
      <c r="B173" s="59" t="s">
        <v>330</v>
      </c>
      <c r="C173" s="16"/>
      <c r="D173" s="17"/>
      <c r="E173" s="42"/>
      <c r="F173" s="18">
        <v>0</v>
      </c>
      <c r="G173" s="69"/>
      <c r="H173" s="70" t="s">
        <v>312</v>
      </c>
      <c r="I173" s="71" t="s">
        <v>330</v>
      </c>
      <c r="J173" s="72"/>
      <c r="K173" s="126"/>
      <c r="L173" s="126"/>
    </row>
    <row r="174" spans="2:12" x14ac:dyDescent="0.3">
      <c r="C174" s="19"/>
      <c r="D174" s="20"/>
      <c r="E174" s="43"/>
      <c r="F174" s="21">
        <v>0</v>
      </c>
      <c r="G174" s="73"/>
      <c r="H174" s="74"/>
      <c r="I174" s="75"/>
      <c r="J174" s="76"/>
      <c r="K174" s="127"/>
      <c r="L174" s="127"/>
    </row>
    <row r="175" spans="2:12" x14ac:dyDescent="0.3">
      <c r="C175" s="22"/>
      <c r="D175" s="23"/>
      <c r="E175" s="45"/>
      <c r="F175" s="24">
        <v>0</v>
      </c>
      <c r="G175" s="77"/>
      <c r="H175" s="78"/>
      <c r="I175" s="79"/>
      <c r="J175" s="80"/>
      <c r="K175" s="128"/>
      <c r="L175" s="128"/>
    </row>
    <row r="176" spans="2:12" x14ac:dyDescent="0.3">
      <c r="C176" s="13"/>
      <c r="D176" s="14" t="s">
        <v>96</v>
      </c>
      <c r="E176" s="41" t="s">
        <v>46</v>
      </c>
      <c r="F176" s="15">
        <v>0</v>
      </c>
      <c r="G176" s="69"/>
      <c r="H176" s="70"/>
      <c r="I176" s="71"/>
      <c r="J176" s="72"/>
      <c r="K176" s="126"/>
      <c r="L176" s="126"/>
    </row>
    <row r="177" spans="2:12" x14ac:dyDescent="0.3">
      <c r="C177" s="16"/>
      <c r="D177" s="17"/>
      <c r="E177" s="42"/>
      <c r="F177" s="18">
        <v>0</v>
      </c>
      <c r="G177" s="69"/>
      <c r="H177" s="70"/>
      <c r="I177" s="71"/>
      <c r="J177" s="72"/>
      <c r="K177" s="126"/>
      <c r="L177" s="126"/>
    </row>
    <row r="178" spans="2:12" x14ac:dyDescent="0.3">
      <c r="C178" s="13"/>
      <c r="D178" s="14" t="s">
        <v>97</v>
      </c>
      <c r="E178" s="41"/>
      <c r="F178" s="15">
        <v>0</v>
      </c>
      <c r="G178" s="69"/>
      <c r="H178" s="70"/>
      <c r="I178" s="71"/>
      <c r="J178" s="72"/>
      <c r="K178" s="126"/>
      <c r="L178" s="126"/>
    </row>
    <row r="179" spans="2:12" x14ac:dyDescent="0.3">
      <c r="C179" s="16"/>
      <c r="D179" s="17"/>
      <c r="E179" s="42"/>
      <c r="F179" s="18">
        <v>0</v>
      </c>
      <c r="G179" s="69"/>
      <c r="H179" s="70"/>
      <c r="I179" s="71"/>
      <c r="J179" s="72"/>
      <c r="K179" s="126"/>
      <c r="L179" s="126"/>
    </row>
    <row r="180" spans="2:12" ht="30.05" x14ac:dyDescent="0.3">
      <c r="C180" s="13"/>
      <c r="D180" s="14" t="s">
        <v>98</v>
      </c>
      <c r="E180" s="41"/>
      <c r="F180" s="15">
        <v>0</v>
      </c>
      <c r="G180" s="69"/>
      <c r="H180" s="70"/>
      <c r="I180" s="71"/>
      <c r="J180" s="72"/>
      <c r="K180" s="126"/>
      <c r="L180" s="126"/>
    </row>
    <row r="181" spans="2:12" x14ac:dyDescent="0.3">
      <c r="C181" s="16"/>
      <c r="D181" s="17"/>
      <c r="E181" s="42"/>
      <c r="F181" s="18">
        <v>0</v>
      </c>
      <c r="G181" s="69"/>
      <c r="H181" s="70"/>
      <c r="I181" s="71"/>
      <c r="J181" s="72"/>
      <c r="K181" s="126"/>
      <c r="L181" s="126"/>
    </row>
    <row r="182" spans="2:12" x14ac:dyDescent="0.3">
      <c r="B182" s="59" t="s">
        <v>10</v>
      </c>
      <c r="C182" s="16"/>
      <c r="D182" s="17" t="s">
        <v>400</v>
      </c>
      <c r="E182" s="42" t="s">
        <v>56</v>
      </c>
      <c r="F182" s="18">
        <v>0</v>
      </c>
      <c r="G182" s="69" t="s">
        <v>297</v>
      </c>
      <c r="H182" s="70" t="s">
        <v>44</v>
      </c>
      <c r="I182" s="71" t="s">
        <v>10</v>
      </c>
      <c r="J182" s="81" t="s">
        <v>298</v>
      </c>
      <c r="K182" s="126">
        <v>785</v>
      </c>
      <c r="L182" s="126">
        <f>K182*F182</f>
        <v>0</v>
      </c>
    </row>
    <row r="183" spans="2:12" x14ac:dyDescent="0.3">
      <c r="B183" s="59" t="s">
        <v>14</v>
      </c>
      <c r="C183" s="16"/>
      <c r="D183" s="17"/>
      <c r="E183" s="42"/>
      <c r="F183" s="18">
        <v>0</v>
      </c>
      <c r="G183" s="69" t="s">
        <v>297</v>
      </c>
      <c r="H183" s="70" t="s">
        <v>44</v>
      </c>
      <c r="I183" s="71" t="s">
        <v>14</v>
      </c>
      <c r="J183" s="72"/>
      <c r="K183" s="126"/>
      <c r="L183" s="126"/>
    </row>
    <row r="184" spans="2:12" hidden="1" x14ac:dyDescent="0.3">
      <c r="B184" s="59" t="s">
        <v>18</v>
      </c>
      <c r="C184" s="16"/>
      <c r="D184" s="17"/>
      <c r="E184" s="42"/>
      <c r="F184" s="18">
        <v>0</v>
      </c>
      <c r="G184" s="69" t="s">
        <v>297</v>
      </c>
      <c r="H184" s="70" t="s">
        <v>44</v>
      </c>
      <c r="I184" s="71" t="s">
        <v>18</v>
      </c>
      <c r="J184" s="72"/>
      <c r="K184" s="126"/>
      <c r="L184" s="126"/>
    </row>
    <row r="185" spans="2:12" hidden="1" x14ac:dyDescent="0.3">
      <c r="C185" s="16"/>
      <c r="D185" s="17"/>
      <c r="E185" s="42"/>
      <c r="F185" s="18">
        <v>0</v>
      </c>
      <c r="G185" s="69"/>
      <c r="H185" s="70"/>
      <c r="I185" s="71"/>
      <c r="J185" s="72"/>
      <c r="K185" s="126"/>
      <c r="L185" s="126"/>
    </row>
    <row r="186" spans="2:12" hidden="1" x14ac:dyDescent="0.3">
      <c r="C186" s="16"/>
      <c r="D186" s="17" t="s">
        <v>401</v>
      </c>
      <c r="E186" s="42" t="s">
        <v>56</v>
      </c>
      <c r="F186" s="18">
        <v>0</v>
      </c>
      <c r="G186" s="69"/>
      <c r="H186" s="70"/>
      <c r="I186" s="71"/>
      <c r="J186" s="72"/>
      <c r="K186" s="126"/>
      <c r="L186" s="126"/>
    </row>
    <row r="187" spans="2:12" hidden="1" x14ac:dyDescent="0.3">
      <c r="C187" s="16"/>
      <c r="D187" s="17"/>
      <c r="E187" s="42"/>
      <c r="F187" s="18">
        <v>0</v>
      </c>
      <c r="G187" s="69"/>
      <c r="H187" s="70"/>
      <c r="I187" s="71"/>
      <c r="J187" s="72"/>
      <c r="K187" s="126"/>
      <c r="L187" s="126"/>
    </row>
    <row r="188" spans="2:12" hidden="1" x14ac:dyDescent="0.3">
      <c r="C188" s="16"/>
      <c r="D188" s="17" t="s">
        <v>402</v>
      </c>
      <c r="E188" s="42" t="s">
        <v>56</v>
      </c>
      <c r="F188" s="18">
        <v>0</v>
      </c>
      <c r="G188" s="69"/>
      <c r="H188" s="70"/>
      <c r="I188" s="71"/>
      <c r="J188" s="72"/>
      <c r="K188" s="126"/>
      <c r="L188" s="126"/>
    </row>
    <row r="189" spans="2:12" hidden="1" x14ac:dyDescent="0.3">
      <c r="C189" s="16"/>
      <c r="D189" s="17"/>
      <c r="E189" s="42"/>
      <c r="F189" s="18">
        <v>0</v>
      </c>
      <c r="G189" s="69"/>
      <c r="H189" s="70"/>
      <c r="I189" s="71"/>
      <c r="J189" s="72"/>
      <c r="K189" s="126"/>
      <c r="L189" s="126"/>
    </row>
    <row r="190" spans="2:12" hidden="1" x14ac:dyDescent="0.3">
      <c r="C190" s="16"/>
      <c r="D190" s="17" t="s">
        <v>403</v>
      </c>
      <c r="E190" s="42" t="s">
        <v>13</v>
      </c>
      <c r="F190" s="18">
        <v>0</v>
      </c>
      <c r="G190" s="69"/>
      <c r="H190" s="70"/>
      <c r="I190" s="71"/>
      <c r="J190" s="72"/>
      <c r="K190" s="126"/>
      <c r="L190" s="126"/>
    </row>
    <row r="191" spans="2:12" hidden="1" x14ac:dyDescent="0.3">
      <c r="C191" s="16"/>
      <c r="D191" s="17"/>
      <c r="E191" s="42"/>
      <c r="F191" s="18">
        <v>0</v>
      </c>
      <c r="G191" s="69"/>
      <c r="H191" s="70"/>
      <c r="I191" s="71"/>
      <c r="J191" s="72"/>
      <c r="K191" s="126"/>
      <c r="L191" s="126"/>
    </row>
    <row r="192" spans="2:12" x14ac:dyDescent="0.3">
      <c r="C192" s="13"/>
      <c r="D192" s="14" t="s">
        <v>101</v>
      </c>
      <c r="E192" s="41"/>
      <c r="F192" s="15">
        <v>0</v>
      </c>
      <c r="G192" s="69"/>
      <c r="H192" s="70"/>
      <c r="I192" s="71"/>
      <c r="J192" s="72"/>
      <c r="K192" s="126"/>
      <c r="L192" s="126"/>
    </row>
    <row r="193" spans="2:12" hidden="1" x14ac:dyDescent="0.3">
      <c r="C193" s="16"/>
      <c r="D193" s="17"/>
      <c r="E193" s="42"/>
      <c r="F193" s="18">
        <v>0</v>
      </c>
      <c r="G193" s="69"/>
      <c r="H193" s="70"/>
      <c r="I193" s="71"/>
      <c r="J193" s="72"/>
      <c r="K193" s="126"/>
      <c r="L193" s="126"/>
    </row>
    <row r="194" spans="2:12" ht="30.05" hidden="1" x14ac:dyDescent="0.3">
      <c r="C194" s="16"/>
      <c r="D194" s="17" t="s">
        <v>404</v>
      </c>
      <c r="E194" s="42" t="s">
        <v>90</v>
      </c>
      <c r="F194" s="18">
        <v>0</v>
      </c>
      <c r="G194" s="69"/>
      <c r="H194" s="70"/>
      <c r="I194" s="71"/>
      <c r="J194" s="72"/>
      <c r="K194" s="126"/>
      <c r="L194" s="126"/>
    </row>
    <row r="195" spans="2:12" x14ac:dyDescent="0.3">
      <c r="C195" s="16"/>
      <c r="D195" s="17"/>
      <c r="E195" s="42"/>
      <c r="F195" s="18">
        <v>0</v>
      </c>
      <c r="G195" s="69"/>
      <c r="H195" s="70"/>
      <c r="I195" s="71"/>
      <c r="J195" s="72"/>
      <c r="K195" s="126"/>
      <c r="L195" s="126"/>
    </row>
    <row r="196" spans="2:12" ht="30.05" x14ac:dyDescent="0.3">
      <c r="B196" s="59" t="s">
        <v>10</v>
      </c>
      <c r="C196" s="16"/>
      <c r="D196" s="17" t="s">
        <v>405</v>
      </c>
      <c r="E196" s="42" t="s">
        <v>90</v>
      </c>
      <c r="F196" s="18">
        <v>0</v>
      </c>
      <c r="G196" s="69" t="s">
        <v>297</v>
      </c>
      <c r="H196" s="70" t="s">
        <v>44</v>
      </c>
      <c r="I196" s="71" t="s">
        <v>10</v>
      </c>
      <c r="J196" s="81" t="s">
        <v>299</v>
      </c>
      <c r="K196" s="126">
        <v>392.5</v>
      </c>
      <c r="L196" s="126">
        <f>K196*F196</f>
        <v>0</v>
      </c>
    </row>
    <row r="197" spans="2:12" x14ac:dyDescent="0.3">
      <c r="B197" s="59" t="s">
        <v>14</v>
      </c>
      <c r="C197" s="16"/>
      <c r="D197" s="17"/>
      <c r="E197" s="42"/>
      <c r="F197" s="18">
        <v>0</v>
      </c>
      <c r="G197" s="69" t="s">
        <v>297</v>
      </c>
      <c r="H197" s="70" t="s">
        <v>44</v>
      </c>
      <c r="I197" s="71" t="s">
        <v>14</v>
      </c>
      <c r="J197" s="72"/>
      <c r="K197" s="126"/>
      <c r="L197" s="126"/>
    </row>
    <row r="198" spans="2:12" x14ac:dyDescent="0.3">
      <c r="C198" s="16"/>
      <c r="D198" s="17"/>
      <c r="E198" s="42"/>
      <c r="F198" s="18">
        <v>0</v>
      </c>
      <c r="G198" s="69"/>
      <c r="H198" s="70"/>
      <c r="I198" s="71"/>
      <c r="J198" s="72"/>
      <c r="K198" s="126"/>
      <c r="L198" s="126"/>
    </row>
    <row r="199" spans="2:12" x14ac:dyDescent="0.3">
      <c r="C199" s="13"/>
      <c r="D199" s="14" t="s">
        <v>104</v>
      </c>
      <c r="E199" s="41"/>
      <c r="F199" s="15">
        <v>0</v>
      </c>
      <c r="G199" s="69"/>
      <c r="H199" s="70"/>
      <c r="I199" s="71"/>
      <c r="J199" s="72"/>
      <c r="K199" s="126"/>
      <c r="L199" s="126"/>
    </row>
    <row r="200" spans="2:12" x14ac:dyDescent="0.3">
      <c r="C200" s="16"/>
      <c r="D200" s="17"/>
      <c r="E200" s="42"/>
      <c r="F200" s="18">
        <v>0</v>
      </c>
      <c r="G200" s="69"/>
      <c r="H200" s="70"/>
      <c r="I200" s="71"/>
      <c r="J200" s="72"/>
      <c r="K200" s="126"/>
      <c r="L200" s="126"/>
    </row>
    <row r="201" spans="2:12" ht="30.05" x14ac:dyDescent="0.3">
      <c r="C201" s="13"/>
      <c r="D201" s="14" t="s">
        <v>98</v>
      </c>
      <c r="E201" s="41"/>
      <c r="F201" s="15">
        <v>0</v>
      </c>
      <c r="G201" s="69"/>
      <c r="H201" s="70"/>
      <c r="I201" s="71"/>
      <c r="J201" s="72"/>
      <c r="K201" s="126"/>
      <c r="L201" s="126"/>
    </row>
    <row r="202" spans="2:12" x14ac:dyDescent="0.3">
      <c r="C202" s="16"/>
      <c r="D202" s="17"/>
      <c r="E202" s="42"/>
      <c r="F202" s="18">
        <v>0</v>
      </c>
      <c r="G202" s="69"/>
      <c r="H202" s="70"/>
      <c r="I202" s="71"/>
      <c r="J202" s="72"/>
      <c r="K202" s="126"/>
      <c r="L202" s="126"/>
    </row>
    <row r="203" spans="2:12" x14ac:dyDescent="0.3">
      <c r="B203" s="59" t="s">
        <v>21</v>
      </c>
      <c r="C203" s="16"/>
      <c r="D203" s="17" t="s">
        <v>22</v>
      </c>
      <c r="E203" s="42" t="s">
        <v>56</v>
      </c>
      <c r="F203" s="18">
        <v>0</v>
      </c>
      <c r="G203" s="69" t="s">
        <v>297</v>
      </c>
      <c r="H203" s="70" t="s">
        <v>44</v>
      </c>
      <c r="I203" s="71" t="s">
        <v>21</v>
      </c>
      <c r="J203" s="81" t="s">
        <v>300</v>
      </c>
      <c r="K203" s="126">
        <v>785</v>
      </c>
      <c r="L203" s="126">
        <f>K203*F203</f>
        <v>0</v>
      </c>
    </row>
    <row r="204" spans="2:12" x14ac:dyDescent="0.3">
      <c r="C204" s="16"/>
      <c r="D204" s="17"/>
      <c r="E204" s="42"/>
      <c r="F204" s="18">
        <v>0</v>
      </c>
      <c r="G204" s="69"/>
      <c r="H204" s="70"/>
      <c r="I204" s="71"/>
      <c r="J204" s="72"/>
      <c r="K204" s="126"/>
      <c r="L204" s="126"/>
    </row>
    <row r="205" spans="2:12" x14ac:dyDescent="0.3">
      <c r="B205" s="59" t="s">
        <v>23</v>
      </c>
      <c r="C205" s="16"/>
      <c r="D205" s="17" t="s">
        <v>24</v>
      </c>
      <c r="E205" s="42" t="s">
        <v>56</v>
      </c>
      <c r="F205" s="18">
        <v>0</v>
      </c>
      <c r="G205" s="69" t="s">
        <v>297</v>
      </c>
      <c r="H205" s="70" t="s">
        <v>44</v>
      </c>
      <c r="I205" s="71" t="s">
        <v>23</v>
      </c>
      <c r="J205" s="81" t="s">
        <v>301</v>
      </c>
      <c r="K205" s="126">
        <v>392.5</v>
      </c>
      <c r="L205" s="126">
        <f>K205*F205</f>
        <v>0</v>
      </c>
    </row>
    <row r="206" spans="2:12" x14ac:dyDescent="0.3">
      <c r="C206" s="16"/>
      <c r="D206" s="17"/>
      <c r="E206" s="42"/>
      <c r="F206" s="18">
        <v>0</v>
      </c>
      <c r="G206" s="69"/>
      <c r="H206" s="70"/>
      <c r="I206" s="71"/>
      <c r="J206" s="72"/>
      <c r="K206" s="126"/>
      <c r="L206" s="126"/>
    </row>
    <row r="207" spans="2:12" hidden="1" x14ac:dyDescent="0.3">
      <c r="C207" s="16"/>
      <c r="D207" s="17"/>
      <c r="E207" s="42"/>
      <c r="F207" s="18">
        <v>0</v>
      </c>
      <c r="G207" s="69"/>
      <c r="H207" s="70"/>
      <c r="I207" s="71"/>
      <c r="J207" s="72"/>
      <c r="K207" s="126"/>
      <c r="L207" s="126"/>
    </row>
    <row r="208" spans="2:12" hidden="1" x14ac:dyDescent="0.3">
      <c r="C208" s="16"/>
      <c r="D208" s="17" t="s">
        <v>99</v>
      </c>
      <c r="E208" s="42" t="s">
        <v>56</v>
      </c>
      <c r="F208" s="18">
        <v>0</v>
      </c>
      <c r="G208" s="69" t="s">
        <v>297</v>
      </c>
      <c r="H208" s="70" t="s">
        <v>44</v>
      </c>
      <c r="I208" s="71"/>
      <c r="J208" s="72"/>
      <c r="K208" s="126"/>
      <c r="L208" s="126"/>
    </row>
    <row r="209" spans="2:12" hidden="1" x14ac:dyDescent="0.3">
      <c r="C209" s="16"/>
      <c r="D209" s="17"/>
      <c r="E209" s="42"/>
      <c r="F209" s="18">
        <v>0</v>
      </c>
      <c r="G209" s="69"/>
      <c r="H209" s="70"/>
      <c r="I209" s="71"/>
      <c r="J209" s="72"/>
      <c r="K209" s="126"/>
      <c r="L209" s="126"/>
    </row>
    <row r="210" spans="2:12" hidden="1" x14ac:dyDescent="0.3">
      <c r="C210" s="16"/>
      <c r="D210" s="17" t="s">
        <v>100</v>
      </c>
      <c r="E210" s="42" t="s">
        <v>56</v>
      </c>
      <c r="F210" s="18">
        <v>0</v>
      </c>
      <c r="G210" s="69" t="s">
        <v>297</v>
      </c>
      <c r="H210" s="70" t="s">
        <v>44</v>
      </c>
      <c r="I210" s="71"/>
      <c r="J210" s="72"/>
      <c r="K210" s="126"/>
      <c r="L210" s="126"/>
    </row>
    <row r="211" spans="2:12" hidden="1" x14ac:dyDescent="0.3">
      <c r="C211" s="16"/>
      <c r="D211" s="17"/>
      <c r="E211" s="42"/>
      <c r="F211" s="18">
        <v>0</v>
      </c>
      <c r="G211" s="69"/>
      <c r="H211" s="70"/>
      <c r="I211" s="71"/>
      <c r="J211" s="72"/>
      <c r="K211" s="126"/>
      <c r="L211" s="126"/>
    </row>
    <row r="212" spans="2:12" ht="16.899999999999999" hidden="1" x14ac:dyDescent="0.3">
      <c r="C212" s="16"/>
      <c r="D212" s="17" t="s">
        <v>20</v>
      </c>
      <c r="E212" s="42" t="s">
        <v>105</v>
      </c>
      <c r="F212" s="18">
        <v>0</v>
      </c>
      <c r="G212" s="69" t="s">
        <v>297</v>
      </c>
      <c r="H212" s="70" t="s">
        <v>44</v>
      </c>
      <c r="I212" s="71"/>
      <c r="J212" s="72"/>
      <c r="K212" s="126"/>
      <c r="L212" s="126"/>
    </row>
    <row r="213" spans="2:12" hidden="1" x14ac:dyDescent="0.3">
      <c r="C213" s="16"/>
      <c r="D213" s="17"/>
      <c r="E213" s="42"/>
      <c r="F213" s="18">
        <v>0</v>
      </c>
      <c r="G213" s="69"/>
      <c r="H213" s="70"/>
      <c r="I213" s="71"/>
      <c r="J213" s="72"/>
      <c r="K213" s="126"/>
      <c r="L213" s="126"/>
    </row>
    <row r="214" spans="2:12" ht="30.05" hidden="1" x14ac:dyDescent="0.3">
      <c r="B214" s="59" t="s">
        <v>25</v>
      </c>
      <c r="C214" s="16"/>
      <c r="D214" s="17" t="s">
        <v>106</v>
      </c>
      <c r="E214" s="42" t="s">
        <v>90</v>
      </c>
      <c r="F214" s="18">
        <v>0</v>
      </c>
      <c r="G214" s="69" t="s">
        <v>297</v>
      </c>
      <c r="H214" s="70" t="s">
        <v>306</v>
      </c>
      <c r="I214" s="71" t="s">
        <v>25</v>
      </c>
      <c r="J214" s="81" t="s">
        <v>305</v>
      </c>
      <c r="K214" s="126"/>
      <c r="L214" s="126"/>
    </row>
    <row r="215" spans="2:12" hidden="1" x14ac:dyDescent="0.3">
      <c r="C215" s="16"/>
      <c r="D215" s="17"/>
      <c r="E215" s="42"/>
      <c r="F215" s="18">
        <v>0</v>
      </c>
      <c r="G215" s="69"/>
      <c r="H215" s="70"/>
      <c r="I215" s="71"/>
      <c r="J215" s="72"/>
      <c r="K215" s="126"/>
      <c r="L215" s="126"/>
    </row>
    <row r="216" spans="2:12" x14ac:dyDescent="0.3">
      <c r="C216" s="13"/>
      <c r="D216" s="14" t="s">
        <v>101</v>
      </c>
      <c r="E216" s="41"/>
      <c r="F216" s="15">
        <v>0</v>
      </c>
      <c r="G216" s="69"/>
      <c r="H216" s="70"/>
      <c r="I216" s="71"/>
      <c r="J216" s="72"/>
      <c r="K216" s="126"/>
      <c r="L216" s="126"/>
    </row>
    <row r="217" spans="2:12" x14ac:dyDescent="0.3">
      <c r="C217" s="16"/>
      <c r="D217" s="17"/>
      <c r="E217" s="42"/>
      <c r="F217" s="18">
        <v>0</v>
      </c>
      <c r="G217" s="69"/>
      <c r="H217" s="70"/>
      <c r="I217" s="71"/>
      <c r="J217" s="72"/>
      <c r="K217" s="126"/>
      <c r="L217" s="126"/>
    </row>
    <row r="218" spans="2:12" ht="30.05" x14ac:dyDescent="0.3">
      <c r="B218" s="59" t="s">
        <v>21</v>
      </c>
      <c r="C218" s="16"/>
      <c r="D218" s="17" t="s">
        <v>102</v>
      </c>
      <c r="E218" s="42" t="s">
        <v>90</v>
      </c>
      <c r="F218" s="18">
        <v>0</v>
      </c>
      <c r="G218" s="69" t="s">
        <v>297</v>
      </c>
      <c r="H218" s="70" t="s">
        <v>44</v>
      </c>
      <c r="I218" s="71" t="s">
        <v>21</v>
      </c>
      <c r="J218" s="81" t="s">
        <v>302</v>
      </c>
      <c r="K218" s="126">
        <v>3.5</v>
      </c>
      <c r="L218" s="126">
        <f>K218*F218</f>
        <v>0</v>
      </c>
    </row>
    <row r="219" spans="2:12" x14ac:dyDescent="0.3">
      <c r="C219" s="16"/>
      <c r="D219" s="17"/>
      <c r="E219" s="42"/>
      <c r="F219" s="18">
        <v>0</v>
      </c>
      <c r="G219" s="69"/>
      <c r="H219" s="70"/>
      <c r="I219" s="71"/>
      <c r="J219" s="72"/>
      <c r="K219" s="126"/>
      <c r="L219" s="126"/>
    </row>
    <row r="220" spans="2:12" ht="30.05" x14ac:dyDescent="0.3">
      <c r="B220" s="59" t="s">
        <v>23</v>
      </c>
      <c r="C220" s="16"/>
      <c r="D220" s="17" t="s">
        <v>103</v>
      </c>
      <c r="E220" s="42" t="s">
        <v>90</v>
      </c>
      <c r="F220" s="18">
        <v>0</v>
      </c>
      <c r="G220" s="69" t="s">
        <v>297</v>
      </c>
      <c r="H220" s="70" t="s">
        <v>44</v>
      </c>
      <c r="I220" s="71" t="s">
        <v>23</v>
      </c>
      <c r="J220" s="81" t="s">
        <v>303</v>
      </c>
      <c r="K220" s="126">
        <v>3.5</v>
      </c>
      <c r="L220" s="126">
        <f>K220*F220</f>
        <v>0</v>
      </c>
    </row>
    <row r="221" spans="2:12" hidden="1" x14ac:dyDescent="0.3">
      <c r="C221" s="16"/>
      <c r="D221" s="17"/>
      <c r="E221" s="42"/>
      <c r="F221" s="18">
        <v>0</v>
      </c>
      <c r="G221" s="69"/>
      <c r="H221" s="70"/>
      <c r="I221" s="71"/>
      <c r="J221" s="72"/>
      <c r="K221" s="126"/>
      <c r="L221" s="126"/>
    </row>
    <row r="222" spans="2:12" ht="30.05" hidden="1" x14ac:dyDescent="0.3">
      <c r="C222" s="13"/>
      <c r="D222" s="14" t="s">
        <v>107</v>
      </c>
      <c r="E222" s="41"/>
      <c r="F222" s="15">
        <v>0</v>
      </c>
      <c r="G222" s="69"/>
      <c r="H222" s="70"/>
      <c r="I222" s="71"/>
      <c r="J222" s="72"/>
      <c r="K222" s="126"/>
      <c r="L222" s="126"/>
    </row>
    <row r="223" spans="2:12" hidden="1" x14ac:dyDescent="0.3">
      <c r="C223" s="16"/>
      <c r="D223" s="17"/>
      <c r="E223" s="42"/>
      <c r="F223" s="18">
        <v>0</v>
      </c>
      <c r="G223" s="69"/>
      <c r="H223" s="70"/>
      <c r="I223" s="71"/>
      <c r="J223" s="72"/>
      <c r="K223" s="126"/>
      <c r="L223" s="126"/>
    </row>
    <row r="224" spans="2:12" hidden="1" x14ac:dyDescent="0.3">
      <c r="B224" s="59" t="s">
        <v>25</v>
      </c>
      <c r="C224" s="16"/>
      <c r="D224" s="17" t="s">
        <v>108</v>
      </c>
      <c r="E224" s="42" t="s">
        <v>90</v>
      </c>
      <c r="F224" s="18">
        <v>0</v>
      </c>
      <c r="G224" s="69" t="s">
        <v>297</v>
      </c>
      <c r="H224" s="70" t="s">
        <v>306</v>
      </c>
      <c r="I224" s="71" t="s">
        <v>25</v>
      </c>
      <c r="J224" s="81" t="s">
        <v>308</v>
      </c>
      <c r="K224" s="126"/>
      <c r="L224" s="126"/>
    </row>
    <row r="225" spans="2:12" x14ac:dyDescent="0.3">
      <c r="C225" s="16"/>
      <c r="D225" s="17"/>
      <c r="E225" s="42"/>
      <c r="F225" s="18">
        <v>0</v>
      </c>
      <c r="G225" s="69" t="s">
        <v>297</v>
      </c>
      <c r="H225" s="70" t="s">
        <v>306</v>
      </c>
      <c r="I225" s="71"/>
      <c r="J225" s="72"/>
      <c r="K225" s="126"/>
      <c r="L225" s="126"/>
    </row>
    <row r="226" spans="2:12" x14ac:dyDescent="0.3">
      <c r="C226" s="16"/>
      <c r="D226" s="17"/>
      <c r="E226" s="42"/>
      <c r="F226" s="18">
        <v>0</v>
      </c>
      <c r="G226" s="69" t="s">
        <v>297</v>
      </c>
      <c r="H226" s="70" t="s">
        <v>307</v>
      </c>
      <c r="I226" s="71" t="s">
        <v>309</v>
      </c>
      <c r="J226" s="72"/>
      <c r="K226" s="126"/>
      <c r="L226" s="126"/>
    </row>
    <row r="227" spans="2:12" x14ac:dyDescent="0.3">
      <c r="C227" s="19"/>
      <c r="D227" s="20"/>
      <c r="E227" s="43"/>
      <c r="F227" s="21">
        <v>0</v>
      </c>
      <c r="G227" s="73"/>
      <c r="H227" s="74"/>
      <c r="I227" s="75"/>
      <c r="J227" s="76"/>
      <c r="K227" s="127"/>
      <c r="L227" s="127"/>
    </row>
    <row r="228" spans="2:12" x14ac:dyDescent="0.3">
      <c r="C228" s="22"/>
      <c r="D228" s="23"/>
      <c r="E228" s="45"/>
      <c r="F228" s="24">
        <v>0</v>
      </c>
      <c r="G228" s="77"/>
      <c r="H228" s="78"/>
      <c r="I228" s="79"/>
      <c r="J228" s="80"/>
      <c r="K228" s="128"/>
      <c r="L228" s="128"/>
    </row>
    <row r="229" spans="2:12" x14ac:dyDescent="0.3">
      <c r="C229" s="13"/>
      <c r="D229" s="14" t="s">
        <v>109</v>
      </c>
      <c r="E229" s="41"/>
      <c r="F229" s="15">
        <v>0</v>
      </c>
      <c r="G229" s="69"/>
      <c r="H229" s="70"/>
      <c r="I229" s="71"/>
      <c r="J229" s="72"/>
      <c r="K229" s="126"/>
      <c r="L229" s="126"/>
    </row>
    <row r="230" spans="2:12" x14ac:dyDescent="0.3">
      <c r="C230" s="16"/>
      <c r="D230" s="17"/>
      <c r="E230" s="42"/>
      <c r="F230" s="18">
        <v>0</v>
      </c>
      <c r="G230" s="69"/>
      <c r="H230" s="70"/>
      <c r="I230" s="71"/>
      <c r="J230" s="72"/>
      <c r="K230" s="126"/>
      <c r="L230" s="126"/>
    </row>
    <row r="231" spans="2:12" x14ac:dyDescent="0.3">
      <c r="C231" s="13"/>
      <c r="D231" s="14" t="s">
        <v>110</v>
      </c>
      <c r="E231" s="41"/>
      <c r="F231" s="15">
        <v>0</v>
      </c>
      <c r="G231" s="69"/>
      <c r="H231" s="70"/>
      <c r="I231" s="71"/>
      <c r="J231" s="72"/>
      <c r="K231" s="126"/>
      <c r="L231" s="126"/>
    </row>
    <row r="232" spans="2:12" x14ac:dyDescent="0.3">
      <c r="C232" s="16"/>
      <c r="D232" s="17"/>
      <c r="E232" s="42"/>
      <c r="F232" s="18">
        <v>0</v>
      </c>
      <c r="G232" s="69"/>
      <c r="H232" s="70"/>
      <c r="I232" s="71"/>
      <c r="J232" s="72"/>
      <c r="K232" s="126"/>
      <c r="L232" s="126"/>
    </row>
    <row r="233" spans="2:12" x14ac:dyDescent="0.3">
      <c r="C233" s="13"/>
      <c r="D233" s="14" t="s">
        <v>111</v>
      </c>
      <c r="E233" s="41"/>
      <c r="F233" s="15">
        <v>0</v>
      </c>
      <c r="G233" s="69"/>
      <c r="H233" s="70"/>
      <c r="I233" s="71"/>
      <c r="J233" s="72"/>
      <c r="K233" s="126"/>
      <c r="L233" s="126"/>
    </row>
    <row r="234" spans="2:12" x14ac:dyDescent="0.3">
      <c r="C234" s="16"/>
      <c r="D234" s="17"/>
      <c r="E234" s="42"/>
      <c r="F234" s="18">
        <v>0</v>
      </c>
      <c r="G234" s="69"/>
      <c r="H234" s="70"/>
      <c r="I234" s="71"/>
      <c r="J234" s="72"/>
      <c r="K234" s="126"/>
      <c r="L234" s="126"/>
    </row>
    <row r="235" spans="2:12" ht="105.2" x14ac:dyDescent="0.3">
      <c r="C235" s="13"/>
      <c r="D235" s="14" t="s">
        <v>112</v>
      </c>
      <c r="E235" s="41"/>
      <c r="F235" s="15">
        <v>0</v>
      </c>
      <c r="G235" s="69"/>
      <c r="H235" s="70"/>
      <c r="I235" s="71"/>
      <c r="J235" s="72"/>
      <c r="K235" s="126"/>
      <c r="L235" s="126"/>
    </row>
    <row r="236" spans="2:12" hidden="1" x14ac:dyDescent="0.3">
      <c r="C236" s="16"/>
      <c r="D236" s="17"/>
      <c r="E236" s="42"/>
      <c r="F236" s="18">
        <v>0</v>
      </c>
      <c r="G236" s="69"/>
      <c r="H236" s="70"/>
      <c r="I236" s="71"/>
      <c r="J236" s="72"/>
      <c r="K236" s="126"/>
      <c r="L236" s="126"/>
    </row>
    <row r="237" spans="2:12" x14ac:dyDescent="0.3">
      <c r="B237" s="59" t="s">
        <v>337</v>
      </c>
      <c r="C237" s="16"/>
      <c r="D237" s="17" t="s">
        <v>406</v>
      </c>
      <c r="E237" s="42" t="s">
        <v>56</v>
      </c>
      <c r="F237" s="18">
        <v>0</v>
      </c>
      <c r="G237" s="69" t="s">
        <v>313</v>
      </c>
      <c r="H237" s="70" t="s">
        <v>312</v>
      </c>
      <c r="I237" s="71" t="s">
        <v>337</v>
      </c>
      <c r="J237" s="81" t="s">
        <v>341</v>
      </c>
      <c r="K237" s="126">
        <v>385</v>
      </c>
      <c r="L237" s="126">
        <f>K237*F237</f>
        <v>0</v>
      </c>
    </row>
    <row r="238" spans="2:12" x14ac:dyDescent="0.3">
      <c r="C238" s="16"/>
      <c r="D238" s="17"/>
      <c r="E238" s="42"/>
      <c r="F238" s="18">
        <v>0</v>
      </c>
      <c r="G238" s="69"/>
      <c r="H238" s="70"/>
      <c r="I238" s="71"/>
      <c r="J238" s="72"/>
      <c r="K238" s="126"/>
      <c r="L238" s="126"/>
    </row>
    <row r="239" spans="2:12" x14ac:dyDescent="0.3">
      <c r="B239" s="59" t="s">
        <v>337</v>
      </c>
      <c r="C239" s="16"/>
      <c r="D239" s="17" t="s">
        <v>407</v>
      </c>
      <c r="E239" s="42" t="s">
        <v>56</v>
      </c>
      <c r="F239" s="18">
        <v>0</v>
      </c>
      <c r="G239" s="69" t="s">
        <v>313</v>
      </c>
      <c r="H239" s="70" t="s">
        <v>312</v>
      </c>
      <c r="I239" s="71" t="s">
        <v>337</v>
      </c>
      <c r="J239" s="81" t="s">
        <v>342</v>
      </c>
      <c r="K239" s="126">
        <v>385</v>
      </c>
      <c r="L239" s="126">
        <f>K239*F239</f>
        <v>0</v>
      </c>
    </row>
    <row r="240" spans="2:12" x14ac:dyDescent="0.3">
      <c r="C240" s="16"/>
      <c r="D240" s="17"/>
      <c r="E240" s="42"/>
      <c r="F240" s="18">
        <v>0</v>
      </c>
      <c r="G240" s="69"/>
      <c r="H240" s="70"/>
      <c r="I240" s="71"/>
      <c r="J240" s="72"/>
      <c r="K240" s="126"/>
      <c r="L240" s="126"/>
    </row>
    <row r="241" spans="2:12" ht="45.1" x14ac:dyDescent="0.3">
      <c r="C241" s="16"/>
      <c r="D241" s="17" t="s">
        <v>113</v>
      </c>
      <c r="E241" s="42" t="s">
        <v>51</v>
      </c>
      <c r="F241" s="18">
        <v>0</v>
      </c>
      <c r="G241" s="69"/>
      <c r="H241" s="70" t="s">
        <v>327</v>
      </c>
      <c r="I241" s="71"/>
      <c r="J241" s="72"/>
      <c r="K241" s="126"/>
      <c r="L241" s="126"/>
    </row>
    <row r="242" spans="2:12" x14ac:dyDescent="0.3">
      <c r="C242" s="16"/>
      <c r="D242" s="17"/>
      <c r="E242" s="42"/>
      <c r="F242" s="18">
        <v>0</v>
      </c>
      <c r="G242" s="69"/>
      <c r="H242" s="70"/>
      <c r="I242" s="71"/>
      <c r="J242" s="72"/>
      <c r="K242" s="126"/>
      <c r="L242" s="126"/>
    </row>
    <row r="243" spans="2:12" x14ac:dyDescent="0.3">
      <c r="C243" s="13"/>
      <c r="D243" s="14" t="s">
        <v>114</v>
      </c>
      <c r="E243" s="41"/>
      <c r="F243" s="15">
        <v>0</v>
      </c>
      <c r="G243" s="69"/>
      <c r="H243" s="70"/>
      <c r="I243" s="71"/>
      <c r="J243" s="72"/>
      <c r="K243" s="126"/>
      <c r="L243" s="126"/>
    </row>
    <row r="244" spans="2:12" x14ac:dyDescent="0.3">
      <c r="C244" s="16"/>
      <c r="D244" s="17"/>
      <c r="E244" s="42"/>
      <c r="F244" s="18">
        <v>0</v>
      </c>
      <c r="G244" s="69"/>
      <c r="H244" s="70"/>
      <c r="I244" s="71"/>
      <c r="J244" s="72"/>
      <c r="K244" s="126"/>
      <c r="L244" s="126"/>
    </row>
    <row r="245" spans="2:12" ht="30.05" x14ac:dyDescent="0.3">
      <c r="B245" s="59" t="s">
        <v>337</v>
      </c>
      <c r="C245" s="16"/>
      <c r="D245" s="17" t="s">
        <v>408</v>
      </c>
      <c r="E245" s="42" t="s">
        <v>56</v>
      </c>
      <c r="F245" s="18">
        <v>0</v>
      </c>
      <c r="G245" s="69" t="s">
        <v>313</v>
      </c>
      <c r="H245" s="70" t="s">
        <v>312</v>
      </c>
      <c r="I245" s="71" t="s">
        <v>337</v>
      </c>
      <c r="J245" s="81" t="s">
        <v>341</v>
      </c>
      <c r="K245" s="126">
        <v>45</v>
      </c>
      <c r="L245" s="126">
        <f>K245*F245</f>
        <v>0</v>
      </c>
    </row>
    <row r="246" spans="2:12" hidden="1" x14ac:dyDescent="0.3">
      <c r="C246" s="16"/>
      <c r="D246" s="17"/>
      <c r="E246" s="42"/>
      <c r="F246" s="18">
        <v>0</v>
      </c>
      <c r="G246" s="69"/>
      <c r="H246" s="70"/>
      <c r="I246" s="71"/>
      <c r="J246" s="72"/>
      <c r="K246" s="126"/>
      <c r="L246" s="126"/>
    </row>
    <row r="247" spans="2:12" ht="75.150000000000006" hidden="1" x14ac:dyDescent="0.3">
      <c r="C247" s="13"/>
      <c r="D247" s="14" t="s">
        <v>115</v>
      </c>
      <c r="E247" s="41"/>
      <c r="F247" s="15">
        <v>0</v>
      </c>
      <c r="G247" s="69"/>
      <c r="H247" s="70"/>
      <c r="I247" s="71"/>
      <c r="J247" s="72"/>
      <c r="K247" s="126"/>
      <c r="L247" s="126"/>
    </row>
    <row r="248" spans="2:12" hidden="1" x14ac:dyDescent="0.3">
      <c r="C248" s="16"/>
      <c r="D248" s="17"/>
      <c r="E248" s="42"/>
      <c r="F248" s="18">
        <v>0</v>
      </c>
      <c r="G248" s="69"/>
      <c r="H248" s="70"/>
      <c r="I248" s="71"/>
      <c r="J248" s="72"/>
      <c r="K248" s="126"/>
      <c r="L248" s="126"/>
    </row>
    <row r="249" spans="2:12" hidden="1" x14ac:dyDescent="0.3">
      <c r="C249" s="16"/>
      <c r="D249" s="17" t="s">
        <v>666</v>
      </c>
      <c r="E249" s="42" t="s">
        <v>56</v>
      </c>
      <c r="F249" s="18">
        <v>0</v>
      </c>
      <c r="G249" s="69"/>
      <c r="H249" s="70" t="s">
        <v>327</v>
      </c>
      <c r="I249" s="71"/>
      <c r="J249" s="72"/>
      <c r="K249" s="126"/>
      <c r="L249" s="126"/>
    </row>
    <row r="250" spans="2:12" x14ac:dyDescent="0.3">
      <c r="C250" s="16"/>
      <c r="D250" s="17"/>
      <c r="E250" s="42"/>
      <c r="F250" s="18">
        <v>0</v>
      </c>
      <c r="G250" s="69"/>
      <c r="H250" s="70"/>
      <c r="I250" s="71"/>
      <c r="J250" s="72"/>
      <c r="K250" s="126"/>
      <c r="L250" s="126"/>
    </row>
    <row r="251" spans="2:12" x14ac:dyDescent="0.3">
      <c r="C251" s="13"/>
      <c r="D251" s="14" t="s">
        <v>116</v>
      </c>
      <c r="E251" s="41"/>
      <c r="F251" s="15">
        <v>0</v>
      </c>
      <c r="G251" s="69"/>
      <c r="H251" s="70"/>
      <c r="I251" s="71"/>
      <c r="J251" s="72"/>
      <c r="K251" s="126"/>
      <c r="L251" s="126"/>
    </row>
    <row r="252" spans="2:12" x14ac:dyDescent="0.3">
      <c r="C252" s="16"/>
      <c r="D252" s="17"/>
      <c r="E252" s="42"/>
      <c r="F252" s="18">
        <v>0</v>
      </c>
      <c r="G252" s="69"/>
      <c r="H252" s="70"/>
      <c r="I252" s="71"/>
      <c r="J252" s="72"/>
      <c r="K252" s="126"/>
      <c r="L252" s="126"/>
    </row>
    <row r="253" spans="2:12" ht="45.1" x14ac:dyDescent="0.3">
      <c r="C253" s="13"/>
      <c r="D253" s="14" t="s">
        <v>117</v>
      </c>
      <c r="E253" s="41"/>
      <c r="F253" s="15">
        <v>0</v>
      </c>
      <c r="G253" s="69"/>
      <c r="H253" s="70"/>
      <c r="I253" s="71"/>
      <c r="J253" s="72"/>
      <c r="K253" s="126"/>
      <c r="L253" s="126"/>
    </row>
    <row r="254" spans="2:12" x14ac:dyDescent="0.3">
      <c r="C254" s="16"/>
      <c r="D254" s="17"/>
      <c r="E254" s="42"/>
      <c r="F254" s="18">
        <v>0</v>
      </c>
      <c r="G254" s="69"/>
      <c r="H254" s="70"/>
      <c r="I254" s="71"/>
      <c r="J254" s="72"/>
      <c r="K254" s="126"/>
      <c r="L254" s="126"/>
    </row>
    <row r="255" spans="2:12" x14ac:dyDescent="0.3">
      <c r="B255" s="59" t="s">
        <v>18</v>
      </c>
      <c r="C255" s="16"/>
      <c r="D255" s="17" t="s">
        <v>409</v>
      </c>
      <c r="E255" s="42" t="s">
        <v>56</v>
      </c>
      <c r="F255" s="18">
        <v>0</v>
      </c>
      <c r="G255" s="69" t="s">
        <v>297</v>
      </c>
      <c r="H255" s="70" t="s">
        <v>44</v>
      </c>
      <c r="I255" s="71" t="s">
        <v>18</v>
      </c>
      <c r="J255" s="81" t="s">
        <v>304</v>
      </c>
      <c r="K255" s="126">
        <v>0.2</v>
      </c>
      <c r="L255" s="126">
        <f>K255*F255</f>
        <v>0</v>
      </c>
    </row>
    <row r="256" spans="2:12" x14ac:dyDescent="0.3">
      <c r="B256" s="59" t="s">
        <v>21</v>
      </c>
      <c r="C256" s="16"/>
      <c r="D256" s="17"/>
      <c r="E256" s="42"/>
      <c r="F256" s="18">
        <v>0</v>
      </c>
      <c r="G256" s="69" t="s">
        <v>297</v>
      </c>
      <c r="H256" s="70" t="s">
        <v>44</v>
      </c>
      <c r="I256" s="71" t="s">
        <v>21</v>
      </c>
      <c r="J256" s="72"/>
      <c r="K256" s="126"/>
      <c r="L256" s="126"/>
    </row>
    <row r="257" spans="2:12" hidden="1" x14ac:dyDescent="0.3">
      <c r="B257" s="59" t="s">
        <v>23</v>
      </c>
      <c r="C257" s="16"/>
      <c r="D257" s="17"/>
      <c r="E257" s="42"/>
      <c r="F257" s="18">
        <v>0</v>
      </c>
      <c r="G257" s="69" t="s">
        <v>297</v>
      </c>
      <c r="H257" s="70" t="s">
        <v>44</v>
      </c>
      <c r="I257" s="71" t="s">
        <v>23</v>
      </c>
      <c r="J257" s="72"/>
      <c r="K257" s="126"/>
      <c r="L257" s="126"/>
    </row>
    <row r="258" spans="2:12" hidden="1" x14ac:dyDescent="0.3">
      <c r="C258" s="16"/>
      <c r="D258" s="17"/>
      <c r="E258" s="42"/>
      <c r="F258" s="18">
        <v>0</v>
      </c>
      <c r="G258" s="69"/>
      <c r="H258" s="70"/>
      <c r="I258" s="71"/>
      <c r="J258" s="72"/>
      <c r="K258" s="126"/>
      <c r="L258" s="126"/>
    </row>
    <row r="259" spans="2:12" hidden="1" x14ac:dyDescent="0.3">
      <c r="C259" s="16"/>
      <c r="D259" s="17"/>
      <c r="E259" s="42"/>
      <c r="F259" s="18">
        <v>0</v>
      </c>
      <c r="G259" s="69"/>
      <c r="H259" s="70"/>
      <c r="I259" s="71"/>
      <c r="J259" s="72"/>
      <c r="K259" s="126"/>
      <c r="L259" s="126"/>
    </row>
    <row r="260" spans="2:12" hidden="1" x14ac:dyDescent="0.3">
      <c r="C260" s="16"/>
      <c r="D260" s="17" t="s">
        <v>410</v>
      </c>
      <c r="E260" s="42" t="s">
        <v>56</v>
      </c>
      <c r="F260" s="18">
        <v>0</v>
      </c>
      <c r="G260" s="69"/>
      <c r="H260" s="70" t="s">
        <v>306</v>
      </c>
      <c r="I260" s="71"/>
      <c r="J260" s="81" t="s">
        <v>411</v>
      </c>
      <c r="K260" s="126"/>
      <c r="L260" s="126"/>
    </row>
    <row r="261" spans="2:12" hidden="1" x14ac:dyDescent="0.3">
      <c r="C261" s="16"/>
      <c r="D261" s="17"/>
      <c r="E261" s="42"/>
      <c r="F261" s="18">
        <v>0</v>
      </c>
      <c r="G261" s="69"/>
      <c r="H261" s="70"/>
      <c r="I261" s="71"/>
      <c r="J261" s="72"/>
      <c r="K261" s="126"/>
      <c r="L261" s="126"/>
    </row>
    <row r="262" spans="2:12" ht="60.1" x14ac:dyDescent="0.3">
      <c r="C262" s="13"/>
      <c r="D262" s="14" t="s">
        <v>118</v>
      </c>
      <c r="E262" s="41"/>
      <c r="F262" s="15">
        <v>0</v>
      </c>
      <c r="G262" s="69"/>
      <c r="H262" s="70"/>
      <c r="I262" s="71"/>
      <c r="J262" s="72"/>
      <c r="K262" s="126"/>
      <c r="L262" s="126"/>
    </row>
    <row r="263" spans="2:12" x14ac:dyDescent="0.3">
      <c r="C263" s="16"/>
      <c r="D263" s="17"/>
      <c r="E263" s="42"/>
      <c r="F263" s="18">
        <v>0</v>
      </c>
      <c r="G263" s="69"/>
      <c r="H263" s="70"/>
      <c r="I263" s="71"/>
      <c r="J263" s="72"/>
      <c r="K263" s="126"/>
      <c r="L263" s="126"/>
    </row>
    <row r="264" spans="2:12" x14ac:dyDescent="0.3">
      <c r="B264" s="59" t="s">
        <v>311</v>
      </c>
      <c r="C264" s="16"/>
      <c r="D264" s="17" t="s">
        <v>412</v>
      </c>
      <c r="E264" s="42" t="s">
        <v>56</v>
      </c>
      <c r="F264" s="18">
        <v>0</v>
      </c>
      <c r="G264" s="69" t="s">
        <v>313</v>
      </c>
      <c r="H264" s="70" t="s">
        <v>312</v>
      </c>
      <c r="I264" s="71" t="s">
        <v>311</v>
      </c>
      <c r="J264" s="81" t="s">
        <v>314</v>
      </c>
      <c r="K264" s="126">
        <v>25.5</v>
      </c>
      <c r="L264" s="126">
        <f>K264*F264</f>
        <v>0</v>
      </c>
    </row>
    <row r="265" spans="2:12" x14ac:dyDescent="0.3">
      <c r="C265" s="16"/>
      <c r="D265" s="17"/>
      <c r="E265" s="42"/>
      <c r="F265" s="18">
        <v>0</v>
      </c>
      <c r="G265" s="69"/>
      <c r="H265" s="70"/>
      <c r="I265" s="71"/>
      <c r="J265" s="72"/>
      <c r="K265" s="126"/>
      <c r="L265" s="126"/>
    </row>
    <row r="266" spans="2:12" ht="30.05" hidden="1" x14ac:dyDescent="0.3">
      <c r="C266" s="13"/>
      <c r="D266" s="14" t="s">
        <v>667</v>
      </c>
      <c r="E266" s="41"/>
      <c r="F266" s="15">
        <v>0</v>
      </c>
      <c r="G266" s="69"/>
      <c r="H266" s="70"/>
      <c r="I266" s="71"/>
      <c r="J266" s="72"/>
      <c r="K266" s="126"/>
      <c r="L266" s="126"/>
    </row>
    <row r="267" spans="2:12" hidden="1" x14ac:dyDescent="0.3">
      <c r="C267" s="16"/>
      <c r="D267" s="17"/>
      <c r="E267" s="42"/>
      <c r="F267" s="18">
        <v>0</v>
      </c>
      <c r="G267" s="69"/>
      <c r="H267" s="70"/>
      <c r="I267" s="71"/>
      <c r="J267" s="72"/>
      <c r="K267" s="126"/>
      <c r="L267" s="126"/>
    </row>
    <row r="268" spans="2:12" ht="30.05" hidden="1" x14ac:dyDescent="0.3">
      <c r="C268" s="16"/>
      <c r="D268" s="25" t="s">
        <v>668</v>
      </c>
      <c r="E268" s="42" t="s">
        <v>56</v>
      </c>
      <c r="F268" s="18">
        <v>0</v>
      </c>
      <c r="G268" s="69"/>
      <c r="H268" s="70" t="s">
        <v>327</v>
      </c>
      <c r="I268" s="71"/>
      <c r="J268" s="72"/>
      <c r="K268" s="126"/>
      <c r="L268" s="126"/>
    </row>
    <row r="269" spans="2:12" hidden="1" x14ac:dyDescent="0.3">
      <c r="C269" s="16"/>
      <c r="D269" s="17"/>
      <c r="E269" s="42"/>
      <c r="F269" s="18">
        <v>0</v>
      </c>
      <c r="G269" s="69"/>
      <c r="H269" s="70"/>
      <c r="I269" s="71"/>
      <c r="J269" s="72"/>
      <c r="K269" s="126"/>
      <c r="L269" s="126"/>
    </row>
    <row r="270" spans="2:12" ht="30.05" hidden="1" x14ac:dyDescent="0.3">
      <c r="C270" s="16"/>
      <c r="D270" s="25" t="s">
        <v>669</v>
      </c>
      <c r="E270" s="42" t="s">
        <v>56</v>
      </c>
      <c r="F270" s="18">
        <v>0</v>
      </c>
      <c r="G270" s="69"/>
      <c r="H270" s="70" t="s">
        <v>327</v>
      </c>
      <c r="I270" s="71"/>
      <c r="J270" s="72"/>
      <c r="K270" s="126"/>
      <c r="L270" s="126"/>
    </row>
    <row r="271" spans="2:12" hidden="1" x14ac:dyDescent="0.3">
      <c r="C271" s="16"/>
      <c r="D271" s="17"/>
      <c r="E271" s="42"/>
      <c r="F271" s="18">
        <v>0</v>
      </c>
      <c r="G271" s="69"/>
      <c r="H271" s="70"/>
      <c r="I271" s="71"/>
      <c r="J271" s="72"/>
      <c r="K271" s="126"/>
      <c r="L271" s="126"/>
    </row>
    <row r="272" spans="2:12" hidden="1" x14ac:dyDescent="0.3">
      <c r="C272" s="13"/>
      <c r="D272" s="14" t="s">
        <v>111</v>
      </c>
      <c r="E272" s="41"/>
      <c r="F272" s="15">
        <v>0</v>
      </c>
      <c r="G272" s="69"/>
      <c r="H272" s="70"/>
      <c r="I272" s="71"/>
      <c r="J272" s="72"/>
      <c r="K272" s="126"/>
      <c r="L272" s="126"/>
    </row>
    <row r="273" spans="2:12" hidden="1" x14ac:dyDescent="0.3">
      <c r="C273" s="16"/>
      <c r="D273" s="17"/>
      <c r="E273" s="42"/>
      <c r="F273" s="18">
        <v>0</v>
      </c>
      <c r="G273" s="69"/>
      <c r="H273" s="70"/>
      <c r="I273" s="71"/>
      <c r="J273" s="72"/>
      <c r="K273" s="126"/>
      <c r="L273" s="126"/>
    </row>
    <row r="274" spans="2:12" ht="60.1" hidden="1" x14ac:dyDescent="0.3">
      <c r="C274" s="13"/>
      <c r="D274" s="14" t="s">
        <v>670</v>
      </c>
      <c r="E274" s="41"/>
      <c r="F274" s="15">
        <v>0</v>
      </c>
      <c r="G274" s="69"/>
      <c r="H274" s="70"/>
      <c r="I274" s="71"/>
      <c r="J274" s="72"/>
      <c r="K274" s="126"/>
      <c r="L274" s="126"/>
    </row>
    <row r="275" spans="2:12" hidden="1" x14ac:dyDescent="0.3">
      <c r="C275" s="16"/>
      <c r="D275" s="17"/>
      <c r="E275" s="42"/>
      <c r="F275" s="18">
        <v>0</v>
      </c>
      <c r="G275" s="69"/>
      <c r="H275" s="70"/>
      <c r="I275" s="71"/>
      <c r="J275" s="72"/>
      <c r="K275" s="126"/>
      <c r="L275" s="126"/>
    </row>
    <row r="276" spans="2:12" ht="30.05" hidden="1" x14ac:dyDescent="0.3">
      <c r="B276" s="59" t="s">
        <v>335</v>
      </c>
      <c r="C276" s="16"/>
      <c r="D276" s="17" t="s">
        <v>671</v>
      </c>
      <c r="E276" s="42" t="s">
        <v>56</v>
      </c>
      <c r="F276" s="18">
        <v>0</v>
      </c>
      <c r="G276" s="69" t="s">
        <v>313</v>
      </c>
      <c r="H276" s="70" t="s">
        <v>312</v>
      </c>
      <c r="I276" s="71" t="s">
        <v>335</v>
      </c>
      <c r="J276" s="81" t="s">
        <v>339</v>
      </c>
      <c r="K276" s="126"/>
      <c r="L276" s="126"/>
    </row>
    <row r="277" spans="2:12" hidden="1" x14ac:dyDescent="0.3">
      <c r="C277" s="16"/>
      <c r="D277" s="17"/>
      <c r="E277" s="42"/>
      <c r="F277" s="18">
        <v>0</v>
      </c>
      <c r="G277" s="69"/>
      <c r="H277" s="70"/>
      <c r="I277" s="71"/>
      <c r="J277" s="72"/>
      <c r="K277" s="126"/>
      <c r="L277" s="126"/>
    </row>
    <row r="278" spans="2:12" ht="30.05" hidden="1" x14ac:dyDescent="0.3">
      <c r="B278" s="59" t="s">
        <v>335</v>
      </c>
      <c r="C278" s="16"/>
      <c r="D278" s="17" t="s">
        <v>672</v>
      </c>
      <c r="E278" s="42" t="s">
        <v>56</v>
      </c>
      <c r="F278" s="18">
        <v>0</v>
      </c>
      <c r="G278" s="69" t="s">
        <v>313</v>
      </c>
      <c r="H278" s="70" t="s">
        <v>312</v>
      </c>
      <c r="I278" s="71" t="s">
        <v>335</v>
      </c>
      <c r="J278" s="81" t="s">
        <v>340</v>
      </c>
      <c r="K278" s="126"/>
      <c r="L278" s="126"/>
    </row>
    <row r="279" spans="2:12" hidden="1" x14ac:dyDescent="0.3">
      <c r="C279" s="16"/>
      <c r="D279" s="17"/>
      <c r="E279" s="42"/>
      <c r="F279" s="18">
        <v>0</v>
      </c>
      <c r="G279" s="69"/>
      <c r="H279" s="70"/>
      <c r="I279" s="71"/>
      <c r="J279" s="72"/>
      <c r="K279" s="126"/>
      <c r="L279" s="126"/>
    </row>
    <row r="280" spans="2:12" ht="60.1" hidden="1" x14ac:dyDescent="0.3">
      <c r="C280" s="16"/>
      <c r="D280" s="17" t="s">
        <v>673</v>
      </c>
      <c r="E280" s="42" t="s">
        <v>51</v>
      </c>
      <c r="F280" s="18">
        <v>0</v>
      </c>
      <c r="G280" s="69"/>
      <c r="H280" s="70" t="s">
        <v>327</v>
      </c>
      <c r="I280" s="71"/>
      <c r="J280" s="72"/>
      <c r="K280" s="126"/>
      <c r="L280" s="126"/>
    </row>
    <row r="281" spans="2:12" x14ac:dyDescent="0.3">
      <c r="C281" s="19"/>
      <c r="D281" s="20"/>
      <c r="E281" s="43"/>
      <c r="F281" s="21">
        <v>0</v>
      </c>
      <c r="G281" s="73"/>
      <c r="H281" s="74"/>
      <c r="I281" s="75"/>
      <c r="J281" s="76"/>
      <c r="K281" s="127"/>
      <c r="L281" s="127"/>
    </row>
    <row r="282" spans="2:12" x14ac:dyDescent="0.3">
      <c r="C282" s="22"/>
      <c r="D282" s="23"/>
      <c r="E282" s="45"/>
      <c r="F282" s="24">
        <v>0</v>
      </c>
      <c r="G282" s="77"/>
      <c r="H282" s="78"/>
      <c r="I282" s="79"/>
      <c r="J282" s="80"/>
      <c r="K282" s="128"/>
      <c r="L282" s="128"/>
    </row>
    <row r="283" spans="2:12" x14ac:dyDescent="0.3">
      <c r="C283" s="13"/>
      <c r="D283" s="14" t="s">
        <v>119</v>
      </c>
      <c r="E283" s="41"/>
      <c r="F283" s="15">
        <v>0</v>
      </c>
      <c r="G283" s="69"/>
      <c r="H283" s="70"/>
      <c r="I283" s="71"/>
      <c r="J283" s="72"/>
      <c r="K283" s="126"/>
      <c r="L283" s="126"/>
    </row>
    <row r="284" spans="2:12" x14ac:dyDescent="0.3">
      <c r="C284" s="16"/>
      <c r="D284" s="17"/>
      <c r="E284" s="42"/>
      <c r="F284" s="18">
        <v>0</v>
      </c>
      <c r="G284" s="69"/>
      <c r="H284" s="70"/>
      <c r="I284" s="71"/>
      <c r="J284" s="72"/>
      <c r="K284" s="126"/>
      <c r="L284" s="126"/>
    </row>
    <row r="285" spans="2:12" x14ac:dyDescent="0.3">
      <c r="C285" s="13"/>
      <c r="D285" s="14" t="s">
        <v>120</v>
      </c>
      <c r="E285" s="41"/>
      <c r="F285" s="15">
        <v>0</v>
      </c>
      <c r="G285" s="69"/>
      <c r="H285" s="70"/>
      <c r="I285" s="71"/>
      <c r="J285" s="72"/>
      <c r="K285" s="126"/>
      <c r="L285" s="126"/>
    </row>
    <row r="286" spans="2:12" x14ac:dyDescent="0.3">
      <c r="C286" s="16"/>
      <c r="D286" s="17"/>
      <c r="E286" s="42"/>
      <c r="F286" s="18">
        <v>0</v>
      </c>
      <c r="G286" s="69"/>
      <c r="H286" s="70"/>
      <c r="I286" s="71"/>
      <c r="J286" s="72"/>
      <c r="K286" s="126"/>
      <c r="L286" s="126"/>
    </row>
    <row r="287" spans="2:12" x14ac:dyDescent="0.3">
      <c r="C287" s="13"/>
      <c r="D287" s="14" t="s">
        <v>121</v>
      </c>
      <c r="E287" s="41"/>
      <c r="F287" s="15">
        <v>0</v>
      </c>
      <c r="G287" s="69"/>
      <c r="H287" s="70"/>
      <c r="I287" s="71"/>
      <c r="J287" s="72"/>
      <c r="K287" s="126"/>
      <c r="L287" s="126"/>
    </row>
    <row r="288" spans="2:12" x14ac:dyDescent="0.3">
      <c r="C288" s="16"/>
      <c r="D288" s="17"/>
      <c r="E288" s="42"/>
      <c r="F288" s="18">
        <v>0</v>
      </c>
      <c r="G288" s="69"/>
      <c r="H288" s="70"/>
      <c r="I288" s="71"/>
      <c r="J288" s="72"/>
      <c r="K288" s="126"/>
      <c r="L288" s="126"/>
    </row>
    <row r="289" spans="2:12" x14ac:dyDescent="0.3">
      <c r="B289" s="59" t="s">
        <v>38</v>
      </c>
      <c r="C289" s="16"/>
      <c r="D289" s="17" t="s">
        <v>122</v>
      </c>
      <c r="E289" s="42" t="s">
        <v>56</v>
      </c>
      <c r="F289" s="18">
        <v>0</v>
      </c>
      <c r="G289" s="69"/>
      <c r="H289" s="70" t="s">
        <v>344</v>
      </c>
      <c r="I289" s="71" t="s">
        <v>38</v>
      </c>
      <c r="J289" s="81" t="s">
        <v>345</v>
      </c>
      <c r="K289" s="126">
        <v>550</v>
      </c>
      <c r="L289" s="126">
        <f>K289*F289</f>
        <v>0</v>
      </c>
    </row>
    <row r="290" spans="2:12" x14ac:dyDescent="0.3">
      <c r="C290" s="16"/>
      <c r="D290" s="17"/>
      <c r="E290" s="42"/>
      <c r="F290" s="18">
        <v>0</v>
      </c>
      <c r="G290" s="69"/>
      <c r="H290" s="70"/>
      <c r="I290" s="71"/>
      <c r="J290" s="72"/>
      <c r="K290" s="126"/>
      <c r="L290" s="126"/>
    </row>
    <row r="291" spans="2:12" ht="30.05" x14ac:dyDescent="0.3">
      <c r="B291" s="59" t="s">
        <v>38</v>
      </c>
      <c r="C291" s="16"/>
      <c r="D291" s="17" t="s">
        <v>343</v>
      </c>
      <c r="E291" s="42" t="s">
        <v>56</v>
      </c>
      <c r="F291" s="18">
        <v>0</v>
      </c>
      <c r="G291" s="69"/>
      <c r="H291" s="70" t="s">
        <v>344</v>
      </c>
      <c r="I291" s="71" t="s">
        <v>38</v>
      </c>
      <c r="J291" s="81" t="s">
        <v>345</v>
      </c>
      <c r="K291" s="126">
        <v>365</v>
      </c>
      <c r="L291" s="126">
        <f>K291*F291</f>
        <v>0</v>
      </c>
    </row>
    <row r="292" spans="2:12" x14ac:dyDescent="0.3">
      <c r="C292" s="16"/>
      <c r="D292" s="17"/>
      <c r="E292" s="42"/>
      <c r="F292" s="18">
        <v>0</v>
      </c>
      <c r="G292" s="69"/>
      <c r="H292" s="70"/>
      <c r="I292" s="71"/>
      <c r="J292" s="72"/>
      <c r="K292" s="126"/>
      <c r="L292" s="126"/>
    </row>
    <row r="293" spans="2:12" x14ac:dyDescent="0.3">
      <c r="C293" s="19"/>
      <c r="D293" s="20"/>
      <c r="E293" s="43"/>
      <c r="F293" s="21">
        <v>0</v>
      </c>
      <c r="G293" s="73"/>
      <c r="H293" s="74"/>
      <c r="I293" s="75"/>
      <c r="J293" s="76"/>
      <c r="K293" s="127"/>
      <c r="L293" s="127"/>
    </row>
    <row r="294" spans="2:12" hidden="1" x14ac:dyDescent="0.3">
      <c r="C294" s="22"/>
      <c r="D294" s="23"/>
      <c r="E294" s="45"/>
      <c r="F294" s="24">
        <v>0</v>
      </c>
      <c r="G294" s="77"/>
      <c r="H294" s="78"/>
      <c r="I294" s="79"/>
      <c r="J294" s="80"/>
      <c r="K294" s="128"/>
      <c r="L294" s="128"/>
    </row>
    <row r="295" spans="2:12" hidden="1" x14ac:dyDescent="0.3">
      <c r="C295" s="13"/>
      <c r="D295" s="14" t="s">
        <v>123</v>
      </c>
      <c r="E295" s="41"/>
      <c r="F295" s="15">
        <v>0</v>
      </c>
      <c r="G295" s="69"/>
      <c r="H295" s="70"/>
      <c r="I295" s="71"/>
      <c r="J295" s="72"/>
      <c r="K295" s="126"/>
      <c r="L295" s="126"/>
    </row>
    <row r="296" spans="2:12" hidden="1" x14ac:dyDescent="0.3">
      <c r="C296" s="13"/>
      <c r="D296" s="14"/>
      <c r="E296" s="41"/>
      <c r="F296" s="15">
        <v>0</v>
      </c>
      <c r="G296" s="69"/>
      <c r="H296" s="70"/>
      <c r="I296" s="71"/>
      <c r="J296" s="72"/>
      <c r="K296" s="126"/>
      <c r="L296" s="126"/>
    </row>
    <row r="297" spans="2:12" hidden="1" x14ac:dyDescent="0.3">
      <c r="C297" s="13"/>
      <c r="D297" s="14" t="s">
        <v>124</v>
      </c>
      <c r="E297" s="41"/>
      <c r="F297" s="15">
        <v>0</v>
      </c>
      <c r="G297" s="69"/>
      <c r="H297" s="70"/>
      <c r="I297" s="71"/>
      <c r="J297" s="72"/>
      <c r="K297" s="126"/>
      <c r="L297" s="126"/>
    </row>
    <row r="298" spans="2:12" hidden="1" x14ac:dyDescent="0.3">
      <c r="C298" s="13"/>
      <c r="D298" s="14"/>
      <c r="E298" s="41"/>
      <c r="F298" s="15">
        <v>0</v>
      </c>
      <c r="G298" s="69"/>
      <c r="H298" s="70"/>
      <c r="I298" s="71"/>
      <c r="J298" s="72"/>
      <c r="K298" s="126"/>
      <c r="L298" s="126"/>
    </row>
    <row r="299" spans="2:12" hidden="1" x14ac:dyDescent="0.3">
      <c r="C299" s="13"/>
      <c r="D299" s="14" t="s">
        <v>125</v>
      </c>
      <c r="E299" s="41"/>
      <c r="F299" s="15">
        <v>0</v>
      </c>
      <c r="G299" s="69"/>
      <c r="H299" s="70"/>
      <c r="I299" s="71"/>
      <c r="J299" s="72"/>
      <c r="K299" s="126"/>
      <c r="L299" s="126"/>
    </row>
    <row r="300" spans="2:12" hidden="1" x14ac:dyDescent="0.3">
      <c r="C300" s="26"/>
      <c r="D300" s="17"/>
      <c r="E300" s="46"/>
      <c r="F300" s="27">
        <v>0</v>
      </c>
      <c r="G300" s="69"/>
      <c r="H300" s="70"/>
      <c r="I300" s="71"/>
      <c r="J300" s="72"/>
      <c r="K300" s="126"/>
      <c r="L300" s="126"/>
    </row>
    <row r="301" spans="2:12" hidden="1" x14ac:dyDescent="0.3">
      <c r="C301" s="26"/>
      <c r="D301" s="17" t="s">
        <v>674</v>
      </c>
      <c r="E301" s="46" t="s">
        <v>47</v>
      </c>
      <c r="F301" s="27">
        <v>0</v>
      </c>
      <c r="G301" s="69"/>
      <c r="H301" s="70" t="s">
        <v>318</v>
      </c>
      <c r="I301" s="71"/>
      <c r="J301" s="72"/>
      <c r="K301" s="126"/>
      <c r="L301" s="126"/>
    </row>
    <row r="302" spans="2:12" hidden="1" x14ac:dyDescent="0.3">
      <c r="C302" s="16"/>
      <c r="D302" s="17"/>
      <c r="E302" s="42"/>
      <c r="F302" s="18">
        <v>0</v>
      </c>
      <c r="G302" s="69"/>
      <c r="H302" s="70"/>
      <c r="I302" s="71"/>
      <c r="J302" s="72"/>
      <c r="K302" s="126"/>
      <c r="L302" s="126"/>
    </row>
    <row r="303" spans="2:12" hidden="1" x14ac:dyDescent="0.3">
      <c r="C303" s="13"/>
      <c r="D303" s="14" t="s">
        <v>126</v>
      </c>
      <c r="E303" s="41"/>
      <c r="F303" s="15">
        <v>0</v>
      </c>
      <c r="G303" s="69"/>
      <c r="H303" s="70"/>
      <c r="I303" s="71"/>
      <c r="J303" s="72"/>
      <c r="K303" s="126"/>
      <c r="L303" s="126"/>
    </row>
    <row r="304" spans="2:12" hidden="1" x14ac:dyDescent="0.3">
      <c r="C304" s="16"/>
      <c r="D304" s="17"/>
      <c r="E304" s="42"/>
      <c r="F304" s="18">
        <v>0</v>
      </c>
      <c r="G304" s="69"/>
      <c r="H304" s="70"/>
      <c r="I304" s="71"/>
      <c r="J304" s="72"/>
      <c r="K304" s="126"/>
      <c r="L304" s="126"/>
    </row>
    <row r="305" spans="2:12" hidden="1" x14ac:dyDescent="0.3">
      <c r="C305" s="13"/>
      <c r="D305" s="14" t="s">
        <v>127</v>
      </c>
      <c r="E305" s="41"/>
      <c r="F305" s="15">
        <v>0</v>
      </c>
      <c r="G305" s="69"/>
      <c r="H305" s="70"/>
      <c r="I305" s="71"/>
      <c r="J305" s="72"/>
      <c r="K305" s="126"/>
      <c r="L305" s="126"/>
    </row>
    <row r="306" spans="2:12" hidden="1" x14ac:dyDescent="0.3">
      <c r="C306" s="16"/>
      <c r="D306" s="17"/>
      <c r="E306" s="42"/>
      <c r="F306" s="18">
        <v>0</v>
      </c>
      <c r="G306" s="69"/>
      <c r="H306" s="70"/>
      <c r="I306" s="71"/>
      <c r="J306" s="72"/>
      <c r="K306" s="126"/>
      <c r="L306" s="126"/>
    </row>
    <row r="307" spans="2:12" hidden="1" x14ac:dyDescent="0.3">
      <c r="C307" s="16"/>
      <c r="D307" s="17" t="s">
        <v>413</v>
      </c>
      <c r="E307" s="42" t="s">
        <v>90</v>
      </c>
      <c r="F307" s="18">
        <v>0</v>
      </c>
      <c r="G307" s="69" t="s">
        <v>317</v>
      </c>
      <c r="H307" s="70" t="s">
        <v>318</v>
      </c>
      <c r="I307" s="71"/>
      <c r="J307" s="81" t="s">
        <v>324</v>
      </c>
      <c r="K307" s="126"/>
      <c r="L307" s="126"/>
    </row>
    <row r="308" spans="2:12" hidden="1" x14ac:dyDescent="0.3">
      <c r="C308" s="16"/>
      <c r="D308" s="17"/>
      <c r="E308" s="42"/>
      <c r="F308" s="18">
        <v>0</v>
      </c>
      <c r="G308" s="69"/>
      <c r="H308" s="70"/>
      <c r="I308" s="71"/>
      <c r="J308" s="72"/>
      <c r="K308" s="126"/>
      <c r="L308" s="126"/>
    </row>
    <row r="309" spans="2:12" hidden="1" x14ac:dyDescent="0.3">
      <c r="C309" s="19"/>
      <c r="D309" s="20"/>
      <c r="E309" s="43"/>
      <c r="F309" s="21">
        <v>0</v>
      </c>
      <c r="G309" s="73"/>
      <c r="H309" s="74"/>
      <c r="I309" s="75"/>
      <c r="J309" s="76"/>
      <c r="K309" s="127"/>
      <c r="L309" s="127"/>
    </row>
    <row r="310" spans="2:12" hidden="1" x14ac:dyDescent="0.3">
      <c r="C310" s="22"/>
      <c r="D310" s="23"/>
      <c r="E310" s="45"/>
      <c r="F310" s="24">
        <v>0</v>
      </c>
      <c r="G310" s="77"/>
      <c r="H310" s="78"/>
      <c r="I310" s="79"/>
      <c r="J310" s="80"/>
      <c r="K310" s="128"/>
      <c r="L310" s="128"/>
    </row>
    <row r="311" spans="2:12" ht="30.05" hidden="1" x14ac:dyDescent="0.3">
      <c r="C311" s="13"/>
      <c r="D311" s="14" t="s">
        <v>128</v>
      </c>
      <c r="E311" s="41"/>
      <c r="F311" s="15">
        <v>0</v>
      </c>
      <c r="G311" s="69"/>
      <c r="H311" s="70"/>
      <c r="I311" s="71"/>
      <c r="J311" s="72"/>
      <c r="K311" s="126"/>
      <c r="L311" s="126"/>
    </row>
    <row r="312" spans="2:12" hidden="1" x14ac:dyDescent="0.3">
      <c r="C312" s="16"/>
      <c r="D312" s="17"/>
      <c r="E312" s="42"/>
      <c r="F312" s="18">
        <v>0</v>
      </c>
      <c r="G312" s="69"/>
      <c r="H312" s="70"/>
      <c r="I312" s="71"/>
      <c r="J312" s="72"/>
      <c r="K312" s="126"/>
      <c r="L312" s="126"/>
    </row>
    <row r="313" spans="2:12" hidden="1" x14ac:dyDescent="0.3">
      <c r="C313" s="13"/>
      <c r="D313" s="14" t="s">
        <v>129</v>
      </c>
      <c r="E313" s="41"/>
      <c r="F313" s="15">
        <v>0</v>
      </c>
      <c r="G313" s="69"/>
      <c r="H313" s="70"/>
      <c r="I313" s="71"/>
      <c r="J313" s="72"/>
      <c r="K313" s="126"/>
      <c r="L313" s="126"/>
    </row>
    <row r="314" spans="2:12" hidden="1" x14ac:dyDescent="0.3">
      <c r="C314" s="16"/>
      <c r="D314" s="17"/>
      <c r="E314" s="42"/>
      <c r="F314" s="18">
        <v>0</v>
      </c>
      <c r="G314" s="69"/>
      <c r="H314" s="70"/>
      <c r="I314" s="71"/>
      <c r="J314" s="72"/>
      <c r="K314" s="126"/>
      <c r="L314" s="126"/>
    </row>
    <row r="315" spans="2:12" ht="75.150000000000006" hidden="1" x14ac:dyDescent="0.3">
      <c r="C315" s="13"/>
      <c r="D315" s="14" t="s">
        <v>130</v>
      </c>
      <c r="E315" s="41"/>
      <c r="F315" s="15">
        <v>0</v>
      </c>
      <c r="G315" s="69"/>
      <c r="H315" s="70"/>
      <c r="I315" s="71"/>
      <c r="J315" s="72"/>
      <c r="K315" s="126"/>
      <c r="L315" s="126"/>
    </row>
    <row r="316" spans="2:12" hidden="1" x14ac:dyDescent="0.3">
      <c r="C316" s="16"/>
      <c r="D316" s="17"/>
      <c r="E316" s="42"/>
      <c r="F316" s="18">
        <v>0</v>
      </c>
      <c r="G316" s="69"/>
      <c r="H316" s="70"/>
      <c r="I316" s="71"/>
      <c r="J316" s="72"/>
      <c r="K316" s="126"/>
      <c r="L316" s="126"/>
    </row>
    <row r="317" spans="2:12" hidden="1" x14ac:dyDescent="0.3">
      <c r="B317" s="59" t="s">
        <v>423</v>
      </c>
      <c r="C317" s="16"/>
      <c r="D317" s="17" t="s">
        <v>414</v>
      </c>
      <c r="E317" s="42" t="s">
        <v>56</v>
      </c>
      <c r="F317" s="18">
        <v>0</v>
      </c>
      <c r="G317" s="86" t="s">
        <v>315</v>
      </c>
      <c r="H317" s="87" t="s">
        <v>316</v>
      </c>
      <c r="I317" s="88" t="s">
        <v>423</v>
      </c>
      <c r="J317" s="89" t="s">
        <v>425</v>
      </c>
      <c r="K317" s="129"/>
      <c r="L317" s="129"/>
    </row>
    <row r="318" spans="2:12" hidden="1" x14ac:dyDescent="0.3">
      <c r="C318" s="16"/>
      <c r="D318" s="17"/>
      <c r="E318" s="42"/>
      <c r="F318" s="18">
        <v>0</v>
      </c>
      <c r="G318" s="86" t="s">
        <v>315</v>
      </c>
      <c r="H318" s="87" t="s">
        <v>316</v>
      </c>
      <c r="I318" s="88" t="s">
        <v>424</v>
      </c>
      <c r="J318" s="81"/>
      <c r="K318" s="129"/>
      <c r="L318" s="129"/>
    </row>
    <row r="319" spans="2:12" hidden="1" x14ac:dyDescent="0.3">
      <c r="C319" s="16"/>
      <c r="D319" s="17"/>
      <c r="E319" s="42"/>
      <c r="F319" s="18">
        <v>0</v>
      </c>
      <c r="G319" s="69"/>
      <c r="H319" s="70"/>
      <c r="I319" s="71"/>
      <c r="J319" s="72"/>
      <c r="K319" s="126"/>
      <c r="L319" s="126"/>
    </row>
    <row r="320" spans="2:12" hidden="1" x14ac:dyDescent="0.3">
      <c r="C320" s="16"/>
      <c r="D320" s="17" t="s">
        <v>131</v>
      </c>
      <c r="E320" s="42" t="s">
        <v>51</v>
      </c>
      <c r="F320" s="18">
        <v>0</v>
      </c>
      <c r="G320" s="69"/>
      <c r="H320" s="70" t="s">
        <v>328</v>
      </c>
      <c r="I320" s="71"/>
      <c r="J320" s="72"/>
      <c r="K320" s="126"/>
      <c r="L320" s="126"/>
    </row>
    <row r="321" spans="2:12" hidden="1" x14ac:dyDescent="0.3">
      <c r="C321" s="16"/>
      <c r="D321" s="17"/>
      <c r="E321" s="42"/>
      <c r="F321" s="18">
        <v>0</v>
      </c>
      <c r="G321" s="69"/>
      <c r="H321" s="70"/>
      <c r="I321" s="71"/>
      <c r="J321" s="72"/>
      <c r="K321" s="126"/>
      <c r="L321" s="126"/>
    </row>
    <row r="322" spans="2:12" hidden="1" x14ac:dyDescent="0.3">
      <c r="C322" s="16"/>
      <c r="D322" s="17" t="s">
        <v>132</v>
      </c>
      <c r="E322" s="42" t="s">
        <v>51</v>
      </c>
      <c r="F322" s="18">
        <v>0</v>
      </c>
      <c r="G322" s="69"/>
      <c r="H322" s="70" t="s">
        <v>327</v>
      </c>
      <c r="I322" s="71"/>
      <c r="J322" s="72"/>
      <c r="K322" s="126"/>
      <c r="L322" s="126"/>
    </row>
    <row r="323" spans="2:12" hidden="1" x14ac:dyDescent="0.3">
      <c r="C323" s="16"/>
      <c r="D323" s="17"/>
      <c r="E323" s="42"/>
      <c r="F323" s="18">
        <v>0</v>
      </c>
      <c r="G323" s="69"/>
      <c r="H323" s="70"/>
      <c r="I323" s="71"/>
      <c r="J323" s="72"/>
      <c r="K323" s="126"/>
      <c r="L323" s="126"/>
    </row>
    <row r="324" spans="2:12" hidden="1" x14ac:dyDescent="0.3">
      <c r="C324" s="13"/>
      <c r="D324" s="14" t="s">
        <v>675</v>
      </c>
      <c r="E324" s="41"/>
      <c r="F324" s="15">
        <v>0</v>
      </c>
      <c r="G324" s="69"/>
      <c r="H324" s="70"/>
      <c r="I324" s="71"/>
      <c r="J324" s="72"/>
      <c r="K324" s="126"/>
      <c r="L324" s="126"/>
    </row>
    <row r="325" spans="2:12" hidden="1" x14ac:dyDescent="0.3">
      <c r="C325" s="16"/>
      <c r="D325" s="17"/>
      <c r="E325" s="42"/>
      <c r="F325" s="18">
        <v>0</v>
      </c>
      <c r="G325" s="69"/>
      <c r="H325" s="70"/>
      <c r="I325" s="71"/>
      <c r="J325" s="72"/>
      <c r="K325" s="126"/>
      <c r="L325" s="126"/>
    </row>
    <row r="326" spans="2:12" hidden="1" x14ac:dyDescent="0.3">
      <c r="B326" s="59" t="s">
        <v>423</v>
      </c>
      <c r="C326" s="16"/>
      <c r="D326" s="17" t="s">
        <v>676</v>
      </c>
      <c r="E326" s="42" t="s">
        <v>90</v>
      </c>
      <c r="F326" s="18">
        <v>0</v>
      </c>
      <c r="G326" s="86" t="s">
        <v>315</v>
      </c>
      <c r="H326" s="87" t="s">
        <v>316</v>
      </c>
      <c r="I326" s="88" t="s">
        <v>423</v>
      </c>
      <c r="J326" s="89" t="s">
        <v>426</v>
      </c>
      <c r="K326" s="129"/>
      <c r="L326" s="129"/>
    </row>
    <row r="327" spans="2:12" hidden="1" x14ac:dyDescent="0.3">
      <c r="C327" s="16"/>
      <c r="D327" s="17"/>
      <c r="E327" s="42"/>
      <c r="F327" s="18">
        <v>0</v>
      </c>
      <c r="G327" s="86" t="s">
        <v>315</v>
      </c>
      <c r="H327" s="87" t="s">
        <v>316</v>
      </c>
      <c r="I327" s="88" t="s">
        <v>424</v>
      </c>
      <c r="J327" s="81"/>
      <c r="K327" s="129"/>
      <c r="L327" s="129"/>
    </row>
    <row r="328" spans="2:12" hidden="1" x14ac:dyDescent="0.3">
      <c r="C328" s="16"/>
      <c r="D328" s="17"/>
      <c r="E328" s="42"/>
      <c r="F328" s="18">
        <v>0</v>
      </c>
      <c r="G328" s="69"/>
      <c r="H328" s="70"/>
      <c r="I328" s="71"/>
      <c r="J328" s="72"/>
      <c r="K328" s="126"/>
      <c r="L328" s="126"/>
    </row>
    <row r="329" spans="2:12" hidden="1" x14ac:dyDescent="0.3">
      <c r="C329" s="13"/>
      <c r="D329" s="14" t="s">
        <v>133</v>
      </c>
      <c r="E329" s="41"/>
      <c r="F329" s="15">
        <v>0</v>
      </c>
      <c r="G329" s="69"/>
      <c r="H329" s="70"/>
      <c r="I329" s="71"/>
      <c r="J329" s="72"/>
      <c r="K329" s="126"/>
      <c r="L329" s="126"/>
    </row>
    <row r="330" spans="2:12" hidden="1" x14ac:dyDescent="0.3">
      <c r="C330" s="16"/>
      <c r="D330" s="17"/>
      <c r="E330" s="42"/>
      <c r="F330" s="18">
        <v>0</v>
      </c>
      <c r="G330" s="69"/>
      <c r="H330" s="70"/>
      <c r="I330" s="71"/>
      <c r="J330" s="72"/>
      <c r="K330" s="126"/>
      <c r="L330" s="126"/>
    </row>
    <row r="331" spans="2:12" ht="45.1" hidden="1" x14ac:dyDescent="0.3">
      <c r="C331" s="16"/>
      <c r="D331" s="17" t="s">
        <v>134</v>
      </c>
      <c r="E331" s="42" t="s">
        <v>56</v>
      </c>
      <c r="F331" s="18">
        <v>0</v>
      </c>
      <c r="G331" s="86" t="s">
        <v>315</v>
      </c>
      <c r="H331" s="87" t="s">
        <v>316</v>
      </c>
      <c r="I331" s="88" t="s">
        <v>325</v>
      </c>
      <c r="J331" s="89" t="s">
        <v>326</v>
      </c>
      <c r="K331" s="129"/>
      <c r="L331" s="129"/>
    </row>
    <row r="332" spans="2:12" hidden="1" x14ac:dyDescent="0.3">
      <c r="C332" s="16"/>
      <c r="D332" s="17"/>
      <c r="E332" s="42"/>
      <c r="F332" s="18">
        <v>0</v>
      </c>
      <c r="G332" s="69"/>
      <c r="H332" s="70"/>
      <c r="I332" s="71"/>
      <c r="J332" s="72"/>
      <c r="K332" s="126"/>
      <c r="L332" s="126"/>
    </row>
    <row r="333" spans="2:12" hidden="1" x14ac:dyDescent="0.3">
      <c r="C333" s="19"/>
      <c r="D333" s="20"/>
      <c r="E333" s="43"/>
      <c r="F333" s="21">
        <v>0</v>
      </c>
      <c r="G333" s="73"/>
      <c r="H333" s="74"/>
      <c r="I333" s="75"/>
      <c r="J333" s="76"/>
      <c r="K333" s="127"/>
      <c r="L333" s="127"/>
    </row>
    <row r="334" spans="2:12" hidden="1" x14ac:dyDescent="0.3">
      <c r="C334" s="22"/>
      <c r="D334" s="23"/>
      <c r="E334" s="45"/>
      <c r="F334" s="24">
        <v>0</v>
      </c>
      <c r="G334" s="77"/>
      <c r="H334" s="78"/>
      <c r="I334" s="79"/>
      <c r="J334" s="80"/>
      <c r="K334" s="128"/>
      <c r="L334" s="128"/>
    </row>
    <row r="335" spans="2:12" hidden="1" x14ac:dyDescent="0.3">
      <c r="C335" s="13"/>
      <c r="D335" s="14" t="s">
        <v>135</v>
      </c>
      <c r="E335" s="41"/>
      <c r="F335" s="15">
        <v>0</v>
      </c>
      <c r="G335" s="69"/>
      <c r="H335" s="70"/>
      <c r="I335" s="71"/>
      <c r="J335" s="72"/>
      <c r="K335" s="126"/>
      <c r="L335" s="126"/>
    </row>
    <row r="336" spans="2:12" hidden="1" x14ac:dyDescent="0.3">
      <c r="C336" s="16"/>
      <c r="D336" s="17"/>
      <c r="E336" s="42"/>
      <c r="F336" s="18">
        <v>0</v>
      </c>
      <c r="G336" s="69"/>
      <c r="H336" s="70"/>
      <c r="I336" s="71"/>
      <c r="J336" s="72"/>
      <c r="K336" s="126"/>
      <c r="L336" s="126"/>
    </row>
    <row r="337" spans="3:12" hidden="1" x14ac:dyDescent="0.3">
      <c r="C337" s="13"/>
      <c r="D337" s="14" t="s">
        <v>136</v>
      </c>
      <c r="E337" s="41"/>
      <c r="F337" s="15">
        <v>0</v>
      </c>
      <c r="G337" s="69"/>
      <c r="H337" s="70"/>
      <c r="I337" s="71"/>
      <c r="J337" s="72"/>
      <c r="K337" s="126"/>
      <c r="L337" s="126"/>
    </row>
    <row r="338" spans="3:12" hidden="1" x14ac:dyDescent="0.3">
      <c r="C338" s="16"/>
      <c r="D338" s="17"/>
      <c r="E338" s="42"/>
      <c r="F338" s="18">
        <v>0</v>
      </c>
      <c r="G338" s="69"/>
      <c r="H338" s="70"/>
      <c r="I338" s="71"/>
      <c r="J338" s="72"/>
      <c r="K338" s="126"/>
      <c r="L338" s="126"/>
    </row>
    <row r="339" spans="3:12" ht="60.1" hidden="1" x14ac:dyDescent="0.3">
      <c r="C339" s="13"/>
      <c r="D339" s="14" t="s">
        <v>137</v>
      </c>
      <c r="E339" s="41"/>
      <c r="F339" s="15">
        <v>0</v>
      </c>
      <c r="G339" s="69"/>
      <c r="H339" s="70"/>
      <c r="I339" s="71"/>
      <c r="J339" s="72"/>
      <c r="K339" s="126"/>
      <c r="L339" s="126"/>
    </row>
    <row r="340" spans="3:12" hidden="1" x14ac:dyDescent="0.3">
      <c r="C340" s="16"/>
      <c r="D340" s="17"/>
      <c r="E340" s="42"/>
      <c r="F340" s="18">
        <v>0</v>
      </c>
      <c r="G340" s="69"/>
      <c r="H340" s="70"/>
      <c r="I340" s="71"/>
      <c r="J340" s="72"/>
      <c r="K340" s="126"/>
      <c r="L340" s="126"/>
    </row>
    <row r="341" spans="3:12" ht="45.1" hidden="1" x14ac:dyDescent="0.3">
      <c r="C341" s="13"/>
      <c r="D341" s="14" t="s">
        <v>138</v>
      </c>
      <c r="E341" s="41"/>
      <c r="F341" s="15">
        <v>0</v>
      </c>
      <c r="G341" s="69"/>
      <c r="H341" s="70"/>
      <c r="I341" s="71"/>
      <c r="J341" s="72"/>
      <c r="K341" s="126"/>
      <c r="L341" s="126"/>
    </row>
    <row r="342" spans="3:12" hidden="1" x14ac:dyDescent="0.3">
      <c r="C342" s="16"/>
      <c r="D342" s="17"/>
      <c r="E342" s="42"/>
      <c r="F342" s="18">
        <v>0</v>
      </c>
      <c r="G342" s="69"/>
      <c r="H342" s="70"/>
      <c r="I342" s="71"/>
      <c r="J342" s="72"/>
      <c r="K342" s="126"/>
      <c r="L342" s="126"/>
    </row>
    <row r="343" spans="3:12" hidden="1" x14ac:dyDescent="0.3">
      <c r="C343" s="16"/>
      <c r="D343" s="57" t="s">
        <v>415</v>
      </c>
      <c r="E343" s="42" t="s">
        <v>47</v>
      </c>
      <c r="F343" s="18">
        <v>0</v>
      </c>
      <c r="G343" s="69"/>
      <c r="H343" s="70" t="s">
        <v>318</v>
      </c>
      <c r="I343" s="71"/>
      <c r="J343" s="72"/>
      <c r="K343" s="126"/>
      <c r="L343" s="126"/>
    </row>
    <row r="344" spans="3:12" hidden="1" x14ac:dyDescent="0.3">
      <c r="C344" s="16"/>
      <c r="D344" s="17"/>
      <c r="E344" s="42"/>
      <c r="F344" s="18">
        <v>0</v>
      </c>
      <c r="G344" s="69"/>
      <c r="H344" s="70"/>
      <c r="I344" s="71"/>
      <c r="J344" s="72"/>
      <c r="K344" s="126"/>
      <c r="L344" s="126"/>
    </row>
    <row r="345" spans="3:12" hidden="1" x14ac:dyDescent="0.3">
      <c r="C345" s="13"/>
      <c r="D345" s="14" t="s">
        <v>139</v>
      </c>
      <c r="E345" s="41"/>
      <c r="F345" s="15">
        <v>0</v>
      </c>
      <c r="G345" s="69"/>
      <c r="H345" s="70"/>
      <c r="I345" s="71"/>
      <c r="J345" s="72"/>
      <c r="K345" s="126"/>
      <c r="L345" s="126"/>
    </row>
    <row r="346" spans="3:12" hidden="1" x14ac:dyDescent="0.3">
      <c r="C346" s="16"/>
      <c r="D346" s="17"/>
      <c r="E346" s="42"/>
      <c r="F346" s="18">
        <v>0</v>
      </c>
      <c r="G346" s="69"/>
      <c r="H346" s="70"/>
      <c r="I346" s="71"/>
      <c r="J346" s="72"/>
      <c r="K346" s="126"/>
      <c r="L346" s="126"/>
    </row>
    <row r="347" spans="3:12" ht="60.1" hidden="1" x14ac:dyDescent="0.3">
      <c r="C347" s="13"/>
      <c r="D347" s="14" t="s">
        <v>140</v>
      </c>
      <c r="E347" s="41"/>
      <c r="F347" s="15">
        <v>0</v>
      </c>
      <c r="G347" s="69"/>
      <c r="H347" s="70"/>
      <c r="I347" s="71"/>
      <c r="J347" s="72"/>
      <c r="K347" s="126"/>
      <c r="L347" s="126"/>
    </row>
    <row r="348" spans="3:12" hidden="1" x14ac:dyDescent="0.3">
      <c r="C348" s="16"/>
      <c r="D348" s="17"/>
      <c r="E348" s="42"/>
      <c r="F348" s="18">
        <v>0</v>
      </c>
      <c r="G348" s="69"/>
      <c r="H348" s="70"/>
      <c r="I348" s="71"/>
      <c r="J348" s="72"/>
      <c r="K348" s="126"/>
      <c r="L348" s="126"/>
    </row>
    <row r="349" spans="3:12" ht="45.1" hidden="1" x14ac:dyDescent="0.3">
      <c r="C349" s="13"/>
      <c r="D349" s="14" t="s">
        <v>138</v>
      </c>
      <c r="E349" s="41"/>
      <c r="F349" s="15">
        <v>0</v>
      </c>
      <c r="G349" s="69"/>
      <c r="H349" s="70"/>
      <c r="I349" s="71"/>
      <c r="J349" s="72"/>
      <c r="K349" s="126"/>
      <c r="L349" s="126"/>
    </row>
    <row r="350" spans="3:12" hidden="1" x14ac:dyDescent="0.3">
      <c r="C350" s="16"/>
      <c r="D350" s="17"/>
      <c r="E350" s="42"/>
      <c r="F350" s="18">
        <v>0</v>
      </c>
      <c r="G350" s="69"/>
      <c r="H350" s="70"/>
      <c r="I350" s="71"/>
      <c r="J350" s="72"/>
      <c r="K350" s="126"/>
      <c r="L350" s="126"/>
    </row>
    <row r="351" spans="3:12" hidden="1" x14ac:dyDescent="0.3">
      <c r="C351" s="16"/>
      <c r="D351" s="57" t="s">
        <v>416</v>
      </c>
      <c r="E351" s="42" t="s">
        <v>47</v>
      </c>
      <c r="F351" s="18">
        <v>0</v>
      </c>
      <c r="G351" s="69"/>
      <c r="H351" s="70" t="s">
        <v>318</v>
      </c>
      <c r="I351" s="71"/>
      <c r="J351" s="72"/>
      <c r="K351" s="126"/>
      <c r="L351" s="126"/>
    </row>
    <row r="352" spans="3:12" hidden="1" x14ac:dyDescent="0.3">
      <c r="C352" s="16"/>
      <c r="D352" s="17"/>
      <c r="E352" s="42"/>
      <c r="F352" s="18">
        <v>0</v>
      </c>
      <c r="G352" s="69"/>
      <c r="H352" s="70"/>
      <c r="I352" s="71"/>
      <c r="J352" s="72"/>
      <c r="K352" s="126"/>
      <c r="L352" s="126"/>
    </row>
    <row r="353" spans="2:12" hidden="1" x14ac:dyDescent="0.3">
      <c r="C353" s="19"/>
      <c r="D353" s="20"/>
      <c r="E353" s="43"/>
      <c r="F353" s="21">
        <v>0</v>
      </c>
      <c r="G353" s="73"/>
      <c r="H353" s="74"/>
      <c r="I353" s="75"/>
      <c r="J353" s="76"/>
      <c r="K353" s="127"/>
      <c r="L353" s="127"/>
    </row>
    <row r="354" spans="2:12" x14ac:dyDescent="0.3">
      <c r="C354" s="22"/>
      <c r="D354" s="23"/>
      <c r="E354" s="45"/>
      <c r="F354" s="24">
        <v>0</v>
      </c>
      <c r="G354" s="77"/>
      <c r="H354" s="78"/>
      <c r="I354" s="79"/>
      <c r="J354" s="80"/>
      <c r="K354" s="128"/>
      <c r="L354" s="128"/>
    </row>
    <row r="355" spans="2:12" x14ac:dyDescent="0.3">
      <c r="C355" s="13"/>
      <c r="D355" s="14" t="s">
        <v>141</v>
      </c>
      <c r="E355" s="41"/>
      <c r="F355" s="15">
        <v>0</v>
      </c>
      <c r="G355" s="69"/>
      <c r="H355" s="70"/>
      <c r="I355" s="71"/>
      <c r="J355" s="72"/>
      <c r="K355" s="126"/>
      <c r="L355" s="126"/>
    </row>
    <row r="356" spans="2:12" x14ac:dyDescent="0.3">
      <c r="C356" s="16"/>
      <c r="D356" s="17"/>
      <c r="E356" s="42"/>
      <c r="F356" s="18">
        <v>0</v>
      </c>
      <c r="G356" s="69"/>
      <c r="H356" s="70"/>
      <c r="I356" s="71"/>
      <c r="J356" s="72"/>
      <c r="K356" s="126"/>
      <c r="L356" s="126"/>
    </row>
    <row r="357" spans="2:12" x14ac:dyDescent="0.3">
      <c r="C357" s="13"/>
      <c r="D357" s="14" t="s">
        <v>142</v>
      </c>
      <c r="E357" s="41"/>
      <c r="F357" s="15">
        <v>0</v>
      </c>
      <c r="G357" s="69"/>
      <c r="H357" s="70"/>
      <c r="I357" s="71"/>
      <c r="J357" s="72"/>
      <c r="K357" s="126"/>
      <c r="L357" s="126"/>
    </row>
    <row r="358" spans="2:12" x14ac:dyDescent="0.3">
      <c r="C358" s="16"/>
      <c r="D358" s="17"/>
      <c r="E358" s="42"/>
      <c r="F358" s="18">
        <v>0</v>
      </c>
      <c r="G358" s="69"/>
      <c r="H358" s="70"/>
      <c r="I358" s="71"/>
      <c r="J358" s="72"/>
      <c r="K358" s="126"/>
      <c r="L358" s="126"/>
    </row>
    <row r="359" spans="2:12" x14ac:dyDescent="0.3">
      <c r="C359" s="13"/>
      <c r="D359" s="14" t="s">
        <v>143</v>
      </c>
      <c r="E359" s="41"/>
      <c r="F359" s="15">
        <v>0</v>
      </c>
      <c r="G359" s="69"/>
      <c r="H359" s="70"/>
      <c r="I359" s="71"/>
      <c r="J359" s="72"/>
      <c r="K359" s="126"/>
      <c r="L359" s="126"/>
    </row>
    <row r="360" spans="2:12" x14ac:dyDescent="0.3">
      <c r="C360" s="16"/>
      <c r="D360" s="17"/>
      <c r="E360" s="42"/>
      <c r="F360" s="18">
        <v>0</v>
      </c>
      <c r="G360" s="69"/>
      <c r="H360" s="70"/>
      <c r="I360" s="71"/>
      <c r="J360" s="72"/>
      <c r="K360" s="126"/>
      <c r="L360" s="126"/>
    </row>
    <row r="361" spans="2:12" x14ac:dyDescent="0.3">
      <c r="B361" s="59" t="s">
        <v>311</v>
      </c>
      <c r="C361" s="16"/>
      <c r="D361" s="17" t="s">
        <v>144</v>
      </c>
      <c r="E361" s="42" t="s">
        <v>56</v>
      </c>
      <c r="F361" s="18">
        <v>0</v>
      </c>
      <c r="G361" s="69" t="s">
        <v>313</v>
      </c>
      <c r="H361" s="70" t="s">
        <v>312</v>
      </c>
      <c r="I361" s="71" t="s">
        <v>311</v>
      </c>
      <c r="J361" s="81" t="s">
        <v>329</v>
      </c>
      <c r="K361" s="126">
        <v>93.54</v>
      </c>
      <c r="L361" s="126">
        <f>K361*F361</f>
        <v>0</v>
      </c>
    </row>
    <row r="362" spans="2:12" x14ac:dyDescent="0.3">
      <c r="B362" s="59" t="s">
        <v>330</v>
      </c>
      <c r="C362" s="16"/>
      <c r="D362" s="17"/>
      <c r="E362" s="42"/>
      <c r="F362" s="18">
        <v>0</v>
      </c>
      <c r="G362" s="69" t="s">
        <v>313</v>
      </c>
      <c r="H362" s="70" t="s">
        <v>312</v>
      </c>
      <c r="I362" s="71" t="s">
        <v>330</v>
      </c>
      <c r="J362" s="81" t="s">
        <v>331</v>
      </c>
      <c r="K362" s="126"/>
      <c r="L362" s="126"/>
    </row>
    <row r="363" spans="2:12" hidden="1" x14ac:dyDescent="0.3">
      <c r="C363" s="16"/>
      <c r="D363" s="17"/>
      <c r="E363" s="42"/>
      <c r="F363" s="18">
        <v>0</v>
      </c>
      <c r="G363" s="69"/>
      <c r="H363" s="70"/>
      <c r="I363" s="71"/>
      <c r="J363" s="72"/>
      <c r="K363" s="126"/>
      <c r="L363" s="126"/>
    </row>
    <row r="364" spans="2:12" hidden="1" x14ac:dyDescent="0.3">
      <c r="B364" s="59" t="s">
        <v>417</v>
      </c>
      <c r="C364" s="16"/>
      <c r="D364" s="17" t="s">
        <v>145</v>
      </c>
      <c r="E364" s="42" t="s">
        <v>90</v>
      </c>
      <c r="F364" s="18">
        <v>0</v>
      </c>
      <c r="G364" s="69"/>
      <c r="H364" s="135" t="s">
        <v>420</v>
      </c>
      <c r="I364" s="92" t="s">
        <v>417</v>
      </c>
      <c r="J364" s="89" t="s">
        <v>418</v>
      </c>
      <c r="K364" s="131"/>
      <c r="L364" s="131"/>
    </row>
    <row r="365" spans="2:12" hidden="1" x14ac:dyDescent="0.3">
      <c r="C365" s="16"/>
      <c r="D365" s="17"/>
      <c r="E365" s="42"/>
      <c r="F365" s="18">
        <v>0</v>
      </c>
      <c r="G365" s="69"/>
      <c r="H365" s="70"/>
      <c r="I365" s="71"/>
      <c r="J365" s="72"/>
      <c r="K365" s="126"/>
      <c r="L365" s="126"/>
    </row>
    <row r="366" spans="2:12" hidden="1" x14ac:dyDescent="0.3">
      <c r="B366" s="59" t="s">
        <v>417</v>
      </c>
      <c r="C366" s="16"/>
      <c r="D366" s="17" t="s">
        <v>146</v>
      </c>
      <c r="E366" s="42" t="s">
        <v>90</v>
      </c>
      <c r="F366" s="18">
        <v>0</v>
      </c>
      <c r="G366" s="69"/>
      <c r="H366" s="135" t="s">
        <v>420</v>
      </c>
      <c r="I366" s="92" t="s">
        <v>417</v>
      </c>
      <c r="J366" s="89" t="s">
        <v>419</v>
      </c>
      <c r="K366" s="131"/>
      <c r="L366" s="131"/>
    </row>
    <row r="367" spans="2:12" hidden="1" x14ac:dyDescent="0.3">
      <c r="C367" s="16"/>
      <c r="D367" s="17"/>
      <c r="E367" s="42"/>
      <c r="F367" s="18">
        <v>0</v>
      </c>
      <c r="G367" s="69"/>
      <c r="H367" s="70"/>
      <c r="I367" s="71"/>
      <c r="J367" s="72"/>
      <c r="K367" s="126"/>
      <c r="L367" s="126"/>
    </row>
    <row r="368" spans="2:12" ht="30.05" hidden="1" x14ac:dyDescent="0.3">
      <c r="B368" s="59" t="s">
        <v>335</v>
      </c>
      <c r="C368" s="16"/>
      <c r="D368" s="17" t="s">
        <v>147</v>
      </c>
      <c r="E368" s="42" t="s">
        <v>56</v>
      </c>
      <c r="F368" s="18">
        <v>0</v>
      </c>
      <c r="G368" s="86" t="s">
        <v>313</v>
      </c>
      <c r="H368" s="87" t="s">
        <v>312</v>
      </c>
      <c r="I368" s="88" t="s">
        <v>335</v>
      </c>
      <c r="J368" s="108" t="s">
        <v>339</v>
      </c>
      <c r="K368" s="129"/>
      <c r="L368" s="129"/>
    </row>
    <row r="369" spans="2:12" hidden="1" x14ac:dyDescent="0.3">
      <c r="C369" s="16"/>
      <c r="D369" s="17"/>
      <c r="E369" s="42"/>
      <c r="F369" s="18">
        <v>0</v>
      </c>
      <c r="G369" s="69"/>
      <c r="H369" s="70"/>
      <c r="I369" s="71"/>
      <c r="J369" s="72"/>
      <c r="K369" s="126"/>
      <c r="L369" s="126"/>
    </row>
    <row r="370" spans="2:12" ht="30.05" hidden="1" x14ac:dyDescent="0.3">
      <c r="C370" s="16"/>
      <c r="D370" s="17" t="s">
        <v>148</v>
      </c>
      <c r="E370" s="42" t="s">
        <v>56</v>
      </c>
      <c r="F370" s="18">
        <v>0</v>
      </c>
      <c r="G370" s="69"/>
      <c r="H370" s="70" t="s">
        <v>346</v>
      </c>
      <c r="I370" s="71"/>
      <c r="J370" s="72"/>
      <c r="K370" s="126"/>
      <c r="L370" s="126"/>
    </row>
    <row r="371" spans="2:12" hidden="1" x14ac:dyDescent="0.3">
      <c r="C371" s="16"/>
      <c r="D371" s="17"/>
      <c r="E371" s="42"/>
      <c r="F371" s="18">
        <v>0</v>
      </c>
      <c r="G371" s="69"/>
      <c r="H371" s="70"/>
      <c r="I371" s="71"/>
      <c r="J371" s="72"/>
      <c r="K371" s="126"/>
      <c r="L371" s="126"/>
    </row>
    <row r="372" spans="2:12" ht="45.1" hidden="1" x14ac:dyDescent="0.3">
      <c r="C372" s="13"/>
      <c r="D372" s="14" t="s">
        <v>677</v>
      </c>
      <c r="E372" s="41"/>
      <c r="F372" s="15">
        <v>0</v>
      </c>
      <c r="G372" s="69"/>
      <c r="H372" s="70"/>
      <c r="I372" s="71"/>
      <c r="J372" s="72"/>
      <c r="K372" s="126"/>
      <c r="L372" s="126"/>
    </row>
    <row r="373" spans="2:12" hidden="1" x14ac:dyDescent="0.3">
      <c r="C373" s="16"/>
      <c r="D373" s="17"/>
      <c r="E373" s="42"/>
      <c r="F373" s="18">
        <v>0</v>
      </c>
      <c r="G373" s="69"/>
      <c r="H373" s="70"/>
      <c r="I373" s="71"/>
      <c r="J373" s="72"/>
      <c r="K373" s="126"/>
      <c r="L373" s="126"/>
    </row>
    <row r="374" spans="2:12" ht="30.05" hidden="1" x14ac:dyDescent="0.3">
      <c r="B374" s="59" t="s">
        <v>337</v>
      </c>
      <c r="C374" s="16"/>
      <c r="D374" s="17" t="s">
        <v>149</v>
      </c>
      <c r="E374" s="42" t="s">
        <v>56</v>
      </c>
      <c r="F374" s="18">
        <v>0</v>
      </c>
      <c r="G374" s="86" t="s">
        <v>313</v>
      </c>
      <c r="H374" s="87" t="s">
        <v>312</v>
      </c>
      <c r="I374" s="88" t="s">
        <v>337</v>
      </c>
      <c r="J374" s="108" t="s">
        <v>341</v>
      </c>
      <c r="K374" s="129"/>
      <c r="L374" s="129"/>
    </row>
    <row r="375" spans="2:12" hidden="1" x14ac:dyDescent="0.3">
      <c r="C375" s="16"/>
      <c r="D375" s="17"/>
      <c r="E375" s="42"/>
      <c r="F375" s="18">
        <v>0</v>
      </c>
      <c r="G375" s="69"/>
      <c r="H375" s="70"/>
      <c r="I375" s="71"/>
      <c r="J375" s="72"/>
      <c r="K375" s="126"/>
      <c r="L375" s="126"/>
    </row>
    <row r="376" spans="2:12" x14ac:dyDescent="0.3">
      <c r="C376" s="13"/>
      <c r="D376" s="14" t="s">
        <v>150</v>
      </c>
      <c r="E376" s="41"/>
      <c r="F376" s="15">
        <v>0</v>
      </c>
      <c r="G376" s="69"/>
      <c r="H376" s="70"/>
      <c r="I376" s="71"/>
      <c r="J376" s="72"/>
      <c r="K376" s="126"/>
      <c r="L376" s="126"/>
    </row>
    <row r="377" spans="2:12" x14ac:dyDescent="0.3">
      <c r="C377" s="16"/>
      <c r="D377" s="17"/>
      <c r="E377" s="42"/>
      <c r="F377" s="18">
        <v>0</v>
      </c>
      <c r="G377" s="69"/>
      <c r="H377" s="70"/>
      <c r="I377" s="71"/>
      <c r="J377" s="72"/>
      <c r="K377" s="126"/>
      <c r="L377" s="126"/>
    </row>
    <row r="378" spans="2:12" ht="30.05" x14ac:dyDescent="0.3">
      <c r="C378" s="13"/>
      <c r="D378" s="14" t="s">
        <v>151</v>
      </c>
      <c r="E378" s="41"/>
      <c r="F378" s="15">
        <v>0</v>
      </c>
      <c r="G378" s="69"/>
      <c r="H378" s="70"/>
      <c r="I378" s="71"/>
      <c r="J378" s="72"/>
      <c r="K378" s="126"/>
      <c r="L378" s="126"/>
    </row>
    <row r="379" spans="2:12" x14ac:dyDescent="0.3">
      <c r="C379" s="16"/>
      <c r="D379" s="17"/>
      <c r="E379" s="42"/>
      <c r="F379" s="18">
        <v>0</v>
      </c>
      <c r="G379" s="69"/>
      <c r="H379" s="70"/>
      <c r="I379" s="71"/>
      <c r="J379" s="72"/>
      <c r="K379" s="126"/>
      <c r="L379" s="126"/>
    </row>
    <row r="380" spans="2:12" ht="30.05" x14ac:dyDescent="0.3">
      <c r="B380" s="59" t="s">
        <v>21</v>
      </c>
      <c r="C380" s="16"/>
      <c r="D380" s="17" t="s">
        <v>429</v>
      </c>
      <c r="E380" s="42" t="s">
        <v>56</v>
      </c>
      <c r="F380" s="18">
        <v>0</v>
      </c>
      <c r="G380" s="69" t="s">
        <v>297</v>
      </c>
      <c r="H380" s="70" t="s">
        <v>44</v>
      </c>
      <c r="I380" s="71" t="s">
        <v>21</v>
      </c>
      <c r="J380" s="98" t="s">
        <v>310</v>
      </c>
      <c r="K380" s="126">
        <v>103.25</v>
      </c>
      <c r="L380" s="126">
        <f>K380*F380</f>
        <v>0</v>
      </c>
    </row>
    <row r="381" spans="2:12" ht="21.3" hidden="1" customHeight="1" x14ac:dyDescent="0.3">
      <c r="B381" s="59" t="s">
        <v>23</v>
      </c>
      <c r="C381" s="16"/>
      <c r="D381" s="17"/>
      <c r="E381" s="42"/>
      <c r="F381" s="18">
        <v>0</v>
      </c>
      <c r="G381" s="69" t="s">
        <v>297</v>
      </c>
      <c r="H381" s="70" t="s">
        <v>44</v>
      </c>
      <c r="I381" s="71" t="s">
        <v>23</v>
      </c>
      <c r="J381" s="98"/>
      <c r="K381" s="126"/>
      <c r="L381" s="126"/>
    </row>
    <row r="382" spans="2:12" hidden="1" x14ac:dyDescent="0.3">
      <c r="B382" s="59" t="s">
        <v>25</v>
      </c>
      <c r="C382" s="16"/>
      <c r="D382" s="17"/>
      <c r="E382" s="42"/>
      <c r="F382" s="18">
        <v>0</v>
      </c>
      <c r="G382" s="69" t="s">
        <v>297</v>
      </c>
      <c r="H382" s="70" t="s">
        <v>306</v>
      </c>
      <c r="I382" s="71" t="s">
        <v>25</v>
      </c>
      <c r="J382" s="70"/>
      <c r="K382" s="126"/>
      <c r="L382" s="126"/>
    </row>
    <row r="383" spans="2:12" hidden="1" x14ac:dyDescent="0.3">
      <c r="C383" s="16"/>
      <c r="D383" s="17"/>
      <c r="E383" s="42"/>
      <c r="F383" s="18">
        <v>0</v>
      </c>
      <c r="G383" s="69" t="s">
        <v>297</v>
      </c>
      <c r="H383" s="70" t="s">
        <v>307</v>
      </c>
      <c r="I383" s="71" t="s">
        <v>309</v>
      </c>
      <c r="J383" s="98"/>
      <c r="K383" s="126"/>
      <c r="L383" s="126"/>
    </row>
    <row r="384" spans="2:12" x14ac:dyDescent="0.3">
      <c r="C384" s="16"/>
      <c r="D384" s="17"/>
      <c r="E384" s="42"/>
      <c r="F384" s="18">
        <v>0</v>
      </c>
      <c r="G384" s="69"/>
      <c r="H384" s="70"/>
      <c r="I384" s="71"/>
      <c r="J384" s="81"/>
      <c r="K384" s="126"/>
      <c r="L384" s="126"/>
    </row>
    <row r="385" spans="2:12" ht="30.05" x14ac:dyDescent="0.3">
      <c r="C385" s="13"/>
      <c r="D385" s="14" t="s">
        <v>152</v>
      </c>
      <c r="E385" s="41"/>
      <c r="F385" s="15">
        <v>0</v>
      </c>
      <c r="G385" s="69"/>
      <c r="H385" s="70"/>
      <c r="I385" s="71"/>
      <c r="J385" s="72"/>
      <c r="K385" s="126"/>
      <c r="L385" s="126"/>
    </row>
    <row r="386" spans="2:12" x14ac:dyDescent="0.3">
      <c r="C386" s="16"/>
      <c r="D386" s="17"/>
      <c r="E386" s="42"/>
      <c r="F386" s="18">
        <v>0</v>
      </c>
      <c r="G386" s="69"/>
      <c r="H386" s="70"/>
      <c r="I386" s="71"/>
      <c r="J386" s="72"/>
      <c r="K386" s="126"/>
      <c r="L386" s="126"/>
    </row>
    <row r="387" spans="2:12" x14ac:dyDescent="0.3">
      <c r="B387" s="59" t="s">
        <v>311</v>
      </c>
      <c r="C387" s="16"/>
      <c r="D387" s="17" t="s">
        <v>153</v>
      </c>
      <c r="E387" s="42" t="s">
        <v>56</v>
      </c>
      <c r="F387" s="18">
        <v>0</v>
      </c>
      <c r="G387" s="69" t="s">
        <v>313</v>
      </c>
      <c r="H387" s="70" t="s">
        <v>312</v>
      </c>
      <c r="I387" s="71" t="s">
        <v>311</v>
      </c>
      <c r="J387" s="81" t="s">
        <v>314</v>
      </c>
      <c r="K387" s="126">
        <v>97.45</v>
      </c>
      <c r="L387" s="126">
        <f>K387*F387</f>
        <v>0</v>
      </c>
    </row>
    <row r="388" spans="2:12" x14ac:dyDescent="0.3">
      <c r="C388" s="16"/>
      <c r="D388" s="17"/>
      <c r="E388" s="42"/>
      <c r="F388" s="18">
        <v>0</v>
      </c>
      <c r="G388" s="69"/>
      <c r="H388" s="70"/>
      <c r="I388" s="71"/>
      <c r="J388" s="81"/>
      <c r="K388" s="126"/>
      <c r="L388" s="126"/>
    </row>
    <row r="389" spans="2:12" hidden="1" x14ac:dyDescent="0.3">
      <c r="C389" s="16"/>
      <c r="D389" s="17"/>
      <c r="E389" s="42"/>
      <c r="F389" s="18">
        <v>0</v>
      </c>
      <c r="G389" s="69"/>
      <c r="H389" s="70"/>
      <c r="I389" s="71"/>
      <c r="J389" s="72"/>
      <c r="K389" s="126"/>
      <c r="L389" s="126"/>
    </row>
    <row r="390" spans="2:12" x14ac:dyDescent="0.3">
      <c r="C390" s="13"/>
      <c r="D390" s="14" t="s">
        <v>154</v>
      </c>
      <c r="E390" s="41"/>
      <c r="F390" s="15">
        <v>0</v>
      </c>
      <c r="G390" s="69"/>
      <c r="H390" s="70"/>
      <c r="I390" s="71"/>
      <c r="J390" s="72"/>
      <c r="K390" s="126"/>
      <c r="L390" s="126"/>
    </row>
    <row r="391" spans="2:12" hidden="1" x14ac:dyDescent="0.3">
      <c r="C391" s="16"/>
      <c r="D391" s="17"/>
      <c r="E391" s="42"/>
      <c r="F391" s="18">
        <v>0</v>
      </c>
      <c r="G391" s="69"/>
      <c r="H391" s="70"/>
      <c r="I391" s="71"/>
      <c r="J391" s="72"/>
      <c r="K391" s="126"/>
      <c r="L391" s="126"/>
    </row>
    <row r="392" spans="2:12" ht="30.05" hidden="1" x14ac:dyDescent="0.3">
      <c r="C392" s="13"/>
      <c r="D392" s="14" t="s">
        <v>155</v>
      </c>
      <c r="E392" s="41"/>
      <c r="F392" s="15">
        <v>0</v>
      </c>
      <c r="G392" s="69"/>
      <c r="H392" s="70"/>
      <c r="I392" s="71"/>
      <c r="J392" s="72"/>
      <c r="K392" s="126"/>
      <c r="L392" s="126"/>
    </row>
    <row r="393" spans="2:12" hidden="1" x14ac:dyDescent="0.3">
      <c r="C393" s="16"/>
      <c r="D393" s="17"/>
      <c r="E393" s="42"/>
      <c r="F393" s="18">
        <v>0</v>
      </c>
      <c r="G393" s="69"/>
      <c r="H393" s="70"/>
      <c r="I393" s="71"/>
      <c r="J393" s="72"/>
      <c r="K393" s="126"/>
      <c r="L393" s="126"/>
    </row>
    <row r="394" spans="2:12" hidden="1" x14ac:dyDescent="0.3">
      <c r="C394" s="16"/>
      <c r="D394" s="57" t="s">
        <v>428</v>
      </c>
      <c r="E394" s="42" t="s">
        <v>56</v>
      </c>
      <c r="F394" s="18">
        <v>0</v>
      </c>
      <c r="G394" s="69" t="s">
        <v>317</v>
      </c>
      <c r="H394" s="70" t="s">
        <v>347</v>
      </c>
      <c r="I394" s="92" t="s">
        <v>348</v>
      </c>
      <c r="J394" s="81" t="s">
        <v>349</v>
      </c>
      <c r="K394" s="131"/>
      <c r="L394" s="131"/>
    </row>
    <row r="395" spans="2:12" hidden="1" x14ac:dyDescent="0.3">
      <c r="C395" s="16"/>
      <c r="D395" s="17"/>
      <c r="E395" s="42"/>
      <c r="F395" s="18">
        <v>0</v>
      </c>
      <c r="G395" s="69"/>
      <c r="H395" s="70"/>
      <c r="I395" s="71"/>
      <c r="J395" s="72"/>
      <c r="K395" s="126"/>
      <c r="L395" s="126"/>
    </row>
    <row r="396" spans="2:12" ht="30.05" x14ac:dyDescent="0.3">
      <c r="C396" s="13"/>
      <c r="D396" s="14" t="s">
        <v>155</v>
      </c>
      <c r="E396" s="41"/>
      <c r="F396" s="15">
        <v>0</v>
      </c>
      <c r="G396" s="69"/>
      <c r="H396" s="70"/>
      <c r="I396" s="71"/>
      <c r="J396" s="72"/>
      <c r="K396" s="126"/>
      <c r="L396" s="126"/>
    </row>
    <row r="397" spans="2:12" x14ac:dyDescent="0.3">
      <c r="C397" s="16"/>
      <c r="D397" s="17"/>
      <c r="E397" s="42"/>
      <c r="F397" s="18">
        <v>0</v>
      </c>
      <c r="G397" s="69"/>
      <c r="H397" s="70"/>
      <c r="I397" s="71"/>
      <c r="J397" s="72"/>
      <c r="K397" s="126"/>
      <c r="L397" s="126"/>
    </row>
    <row r="398" spans="2:12" x14ac:dyDescent="0.3">
      <c r="B398" s="59" t="s">
        <v>311</v>
      </c>
      <c r="C398" s="16"/>
      <c r="D398" s="17" t="s">
        <v>153</v>
      </c>
      <c r="E398" s="42" t="s">
        <v>56</v>
      </c>
      <c r="F398" s="18">
        <v>0</v>
      </c>
      <c r="G398" s="69" t="s">
        <v>313</v>
      </c>
      <c r="H398" s="70" t="s">
        <v>312</v>
      </c>
      <c r="I398" s="71" t="s">
        <v>311</v>
      </c>
      <c r="J398" s="81" t="s">
        <v>314</v>
      </c>
      <c r="K398" s="126">
        <v>85</v>
      </c>
      <c r="L398" s="126">
        <f>K398*F398</f>
        <v>0</v>
      </c>
    </row>
    <row r="399" spans="2:12" x14ac:dyDescent="0.3">
      <c r="C399" s="16"/>
      <c r="D399" s="17"/>
      <c r="E399" s="42"/>
      <c r="F399" s="18">
        <v>0</v>
      </c>
      <c r="G399" s="69"/>
      <c r="H399" s="70"/>
      <c r="I399" s="71"/>
      <c r="J399" s="72"/>
      <c r="K399" s="126"/>
      <c r="L399" s="126"/>
    </row>
    <row r="400" spans="2:12" x14ac:dyDescent="0.3">
      <c r="C400" s="19"/>
      <c r="D400" s="20"/>
      <c r="E400" s="43"/>
      <c r="F400" s="21">
        <v>0</v>
      </c>
      <c r="G400" s="73"/>
      <c r="H400" s="74"/>
      <c r="I400" s="75"/>
      <c r="J400" s="76"/>
      <c r="K400" s="127"/>
      <c r="L400" s="127"/>
    </row>
    <row r="401" spans="3:12" x14ac:dyDescent="0.3">
      <c r="C401" s="22"/>
      <c r="D401" s="23"/>
      <c r="E401" s="45"/>
      <c r="F401" s="24">
        <v>0</v>
      </c>
      <c r="G401" s="77"/>
      <c r="H401" s="78"/>
      <c r="I401" s="79"/>
      <c r="J401" s="80"/>
      <c r="K401" s="128"/>
      <c r="L401" s="128"/>
    </row>
    <row r="402" spans="3:12" x14ac:dyDescent="0.3">
      <c r="C402" s="13"/>
      <c r="D402" s="14" t="s">
        <v>156</v>
      </c>
      <c r="E402" s="41"/>
      <c r="F402" s="15">
        <v>0</v>
      </c>
      <c r="G402" s="69"/>
      <c r="H402" s="70"/>
      <c r="I402" s="71"/>
      <c r="J402" s="72"/>
      <c r="K402" s="126"/>
      <c r="L402" s="126"/>
    </row>
    <row r="403" spans="3:12" hidden="1" x14ac:dyDescent="0.3">
      <c r="C403" s="16"/>
      <c r="D403" s="17"/>
      <c r="E403" s="42"/>
      <c r="F403" s="18">
        <v>0</v>
      </c>
      <c r="G403" s="69"/>
      <c r="H403" s="70"/>
      <c r="I403" s="71"/>
      <c r="J403" s="72"/>
      <c r="K403" s="126"/>
      <c r="L403" s="126"/>
    </row>
    <row r="404" spans="3:12" hidden="1" x14ac:dyDescent="0.3">
      <c r="C404" s="16"/>
      <c r="D404" s="17"/>
      <c r="E404" s="42"/>
      <c r="F404" s="18">
        <v>0</v>
      </c>
      <c r="G404" s="69"/>
      <c r="H404" s="70"/>
      <c r="I404" s="71"/>
      <c r="J404" s="72"/>
      <c r="K404" s="126"/>
      <c r="L404" s="126"/>
    </row>
    <row r="405" spans="3:12" ht="30.05" hidden="1" x14ac:dyDescent="0.3">
      <c r="C405" s="13"/>
      <c r="D405" s="14" t="s">
        <v>678</v>
      </c>
      <c r="E405" s="41"/>
      <c r="F405" s="15">
        <v>0</v>
      </c>
      <c r="G405" s="69"/>
      <c r="H405" s="70"/>
      <c r="I405" s="71"/>
      <c r="J405" s="72"/>
      <c r="K405" s="126"/>
      <c r="L405" s="126"/>
    </row>
    <row r="406" spans="3:12" hidden="1" x14ac:dyDescent="0.3">
      <c r="C406" s="16"/>
      <c r="D406" s="17"/>
      <c r="E406" s="42"/>
      <c r="F406" s="18">
        <v>0</v>
      </c>
      <c r="G406" s="69"/>
      <c r="H406" s="70"/>
      <c r="I406" s="71"/>
      <c r="J406" s="72"/>
      <c r="K406" s="126"/>
      <c r="L406" s="126"/>
    </row>
    <row r="407" spans="3:12" ht="75.150000000000006" hidden="1" x14ac:dyDescent="0.3">
      <c r="C407" s="13"/>
      <c r="D407" s="14" t="s">
        <v>157</v>
      </c>
      <c r="E407" s="41"/>
      <c r="F407" s="15">
        <v>0</v>
      </c>
      <c r="G407" s="69"/>
      <c r="H407" s="70"/>
      <c r="I407" s="71"/>
      <c r="J407" s="72"/>
      <c r="K407" s="126"/>
      <c r="L407" s="126"/>
    </row>
    <row r="408" spans="3:12" hidden="1" x14ac:dyDescent="0.3">
      <c r="C408" s="16"/>
      <c r="D408" s="17"/>
      <c r="E408" s="42"/>
      <c r="F408" s="18">
        <v>0</v>
      </c>
      <c r="G408" s="69"/>
      <c r="H408" s="70"/>
      <c r="I408" s="71"/>
      <c r="J408" s="72"/>
      <c r="K408" s="126"/>
      <c r="L408" s="126"/>
    </row>
    <row r="409" spans="3:12" hidden="1" x14ac:dyDescent="0.3">
      <c r="C409" s="16"/>
      <c r="D409" s="17" t="s">
        <v>438</v>
      </c>
      <c r="E409" s="42" t="s">
        <v>56</v>
      </c>
      <c r="F409" s="18">
        <v>0</v>
      </c>
      <c r="G409" s="69" t="s">
        <v>317</v>
      </c>
      <c r="H409" s="70" t="s">
        <v>318</v>
      </c>
      <c r="I409" s="71"/>
      <c r="J409" s="81" t="s">
        <v>319</v>
      </c>
      <c r="K409" s="126"/>
      <c r="L409" s="126"/>
    </row>
    <row r="410" spans="3:12" hidden="1" x14ac:dyDescent="0.3">
      <c r="C410" s="16"/>
      <c r="D410" s="17"/>
      <c r="E410" s="42"/>
      <c r="F410" s="18">
        <v>0</v>
      </c>
      <c r="G410" s="69"/>
      <c r="H410" s="70"/>
      <c r="I410" s="71"/>
      <c r="J410" s="72"/>
      <c r="K410" s="126"/>
      <c r="L410" s="126"/>
    </row>
    <row r="411" spans="3:12" hidden="1" x14ac:dyDescent="0.3">
      <c r="C411" s="16"/>
      <c r="D411" s="17" t="s">
        <v>439</v>
      </c>
      <c r="E411" s="42" t="s">
        <v>56</v>
      </c>
      <c r="F411" s="18">
        <v>0</v>
      </c>
      <c r="G411" s="69" t="s">
        <v>317</v>
      </c>
      <c r="H411" s="70" t="s">
        <v>318</v>
      </c>
      <c r="I411" s="71"/>
      <c r="J411" s="81" t="s">
        <v>319</v>
      </c>
      <c r="K411" s="126"/>
      <c r="L411" s="126"/>
    </row>
    <row r="412" spans="3:12" hidden="1" x14ac:dyDescent="0.3">
      <c r="C412" s="16"/>
      <c r="D412" s="17"/>
      <c r="E412" s="42"/>
      <c r="F412" s="18">
        <v>0</v>
      </c>
      <c r="G412" s="69"/>
      <c r="H412" s="70"/>
      <c r="I412" s="71"/>
      <c r="J412" s="72"/>
      <c r="K412" s="126"/>
      <c r="L412" s="126"/>
    </row>
    <row r="413" spans="3:12" ht="75.150000000000006" hidden="1" x14ac:dyDescent="0.3">
      <c r="C413" s="13"/>
      <c r="D413" s="14" t="s">
        <v>158</v>
      </c>
      <c r="E413" s="41"/>
      <c r="F413" s="15">
        <v>0</v>
      </c>
      <c r="G413" s="69"/>
      <c r="H413" s="70"/>
      <c r="I413" s="71"/>
      <c r="J413" s="72"/>
      <c r="K413" s="126"/>
      <c r="L413" s="126"/>
    </row>
    <row r="414" spans="3:12" hidden="1" x14ac:dyDescent="0.3">
      <c r="C414" s="16"/>
      <c r="D414" s="17"/>
      <c r="E414" s="42"/>
      <c r="F414" s="18">
        <v>0</v>
      </c>
      <c r="G414" s="69"/>
      <c r="H414" s="70"/>
      <c r="I414" s="71"/>
      <c r="J414" s="72"/>
      <c r="K414" s="126"/>
      <c r="L414" s="126"/>
    </row>
    <row r="415" spans="3:12" ht="30.05" hidden="1" x14ac:dyDescent="0.3">
      <c r="C415" s="16"/>
      <c r="D415" s="17" t="s">
        <v>436</v>
      </c>
      <c r="E415" s="42" t="s">
        <v>56</v>
      </c>
      <c r="F415" s="18">
        <v>0</v>
      </c>
      <c r="G415" s="69" t="s">
        <v>317</v>
      </c>
      <c r="H415" s="70" t="s">
        <v>318</v>
      </c>
      <c r="I415" s="71"/>
      <c r="J415" s="81" t="s">
        <v>319</v>
      </c>
      <c r="K415" s="126"/>
      <c r="L415" s="126"/>
    </row>
    <row r="416" spans="3:12" hidden="1" x14ac:dyDescent="0.3">
      <c r="C416" s="16"/>
      <c r="D416" s="17"/>
      <c r="E416" s="42"/>
      <c r="F416" s="18">
        <v>0</v>
      </c>
      <c r="G416" s="69"/>
      <c r="H416" s="70"/>
      <c r="I416" s="71"/>
      <c r="J416" s="72"/>
      <c r="K416" s="126"/>
      <c r="L416" s="126"/>
    </row>
    <row r="417" spans="2:12" hidden="1" x14ac:dyDescent="0.3">
      <c r="C417" s="16"/>
      <c r="D417" s="17" t="s">
        <v>437</v>
      </c>
      <c r="E417" s="42" t="s">
        <v>56</v>
      </c>
      <c r="F417" s="18">
        <v>0</v>
      </c>
      <c r="G417" s="69" t="s">
        <v>317</v>
      </c>
      <c r="H417" s="70" t="s">
        <v>318</v>
      </c>
      <c r="I417" s="71"/>
      <c r="J417" s="81" t="s">
        <v>319</v>
      </c>
      <c r="K417" s="126"/>
      <c r="L417" s="126"/>
    </row>
    <row r="418" spans="2:12" x14ac:dyDescent="0.3">
      <c r="C418" s="16"/>
      <c r="D418" s="17"/>
      <c r="E418" s="42"/>
      <c r="F418" s="18">
        <v>0</v>
      </c>
      <c r="G418" s="69"/>
      <c r="H418" s="70"/>
      <c r="I418" s="71"/>
      <c r="J418" s="72"/>
      <c r="K418" s="126"/>
      <c r="L418" s="126"/>
    </row>
    <row r="419" spans="2:12" ht="30.05" x14ac:dyDescent="0.3">
      <c r="C419" s="13"/>
      <c r="D419" s="14" t="s">
        <v>679</v>
      </c>
      <c r="E419" s="41"/>
      <c r="F419" s="15">
        <v>0</v>
      </c>
      <c r="G419" s="69"/>
      <c r="H419" s="70"/>
      <c r="I419" s="71"/>
      <c r="J419" s="72"/>
      <c r="K419" s="126"/>
      <c r="L419" s="126"/>
    </row>
    <row r="420" spans="2:12" x14ac:dyDescent="0.3">
      <c r="C420" s="16"/>
      <c r="D420" s="17"/>
      <c r="E420" s="42"/>
      <c r="F420" s="18">
        <v>0</v>
      </c>
      <c r="G420" s="69"/>
      <c r="H420" s="70"/>
      <c r="I420" s="71"/>
      <c r="J420" s="72"/>
      <c r="K420" s="126"/>
      <c r="L420" s="126"/>
    </row>
    <row r="421" spans="2:12" ht="75.150000000000006" x14ac:dyDescent="0.3">
      <c r="C421" s="13"/>
      <c r="D421" s="14" t="s">
        <v>159</v>
      </c>
      <c r="E421" s="41"/>
      <c r="F421" s="15">
        <v>0</v>
      </c>
      <c r="G421" s="69"/>
      <c r="H421" s="70"/>
      <c r="I421" s="71"/>
      <c r="J421" s="72"/>
      <c r="K421" s="126"/>
      <c r="L421" s="126"/>
    </row>
    <row r="422" spans="2:12" x14ac:dyDescent="0.3">
      <c r="C422" s="16"/>
      <c r="D422" s="17"/>
      <c r="E422" s="42"/>
      <c r="F422" s="18">
        <v>0</v>
      </c>
      <c r="G422" s="69"/>
      <c r="H422" s="70"/>
      <c r="I422" s="71"/>
      <c r="J422" s="72"/>
      <c r="K422" s="126"/>
      <c r="L422" s="126"/>
    </row>
    <row r="423" spans="2:12" x14ac:dyDescent="0.3">
      <c r="B423" s="59" t="s">
        <v>311</v>
      </c>
      <c r="C423" s="16"/>
      <c r="D423" s="17" t="s">
        <v>440</v>
      </c>
      <c r="E423" s="42" t="s">
        <v>56</v>
      </c>
      <c r="F423" s="18">
        <v>0</v>
      </c>
      <c r="G423" s="69" t="s">
        <v>313</v>
      </c>
      <c r="H423" s="70" t="s">
        <v>312</v>
      </c>
      <c r="I423" s="71" t="s">
        <v>311</v>
      </c>
      <c r="J423" s="81" t="s">
        <v>350</v>
      </c>
      <c r="K423" s="126">
        <v>335.48</v>
      </c>
      <c r="L423" s="126">
        <f>K423*F423</f>
        <v>0</v>
      </c>
    </row>
    <row r="424" spans="2:12" hidden="1" x14ac:dyDescent="0.3">
      <c r="B424" s="59" t="s">
        <v>335</v>
      </c>
      <c r="C424" s="16"/>
      <c r="D424" s="17"/>
      <c r="E424" s="42"/>
      <c r="F424" s="18">
        <v>0</v>
      </c>
      <c r="G424" s="69" t="s">
        <v>313</v>
      </c>
      <c r="H424" s="70" t="s">
        <v>312</v>
      </c>
      <c r="I424" s="71" t="s">
        <v>335</v>
      </c>
      <c r="J424" s="81"/>
      <c r="K424" s="126"/>
      <c r="L424" s="126"/>
    </row>
    <row r="425" spans="2:12" hidden="1" x14ac:dyDescent="0.3">
      <c r="B425" s="59" t="s">
        <v>330</v>
      </c>
      <c r="C425" s="16"/>
      <c r="D425" s="17"/>
      <c r="E425" s="42"/>
      <c r="F425" s="18">
        <v>0</v>
      </c>
      <c r="G425" s="69" t="s">
        <v>313</v>
      </c>
      <c r="H425" s="70" t="s">
        <v>312</v>
      </c>
      <c r="I425" s="71" t="s">
        <v>330</v>
      </c>
      <c r="J425" s="81"/>
      <c r="K425" s="126"/>
      <c r="L425" s="126"/>
    </row>
    <row r="426" spans="2:12" x14ac:dyDescent="0.3">
      <c r="C426" s="16"/>
      <c r="D426" s="17"/>
      <c r="E426" s="42"/>
      <c r="F426" s="18">
        <v>0</v>
      </c>
      <c r="G426" s="69"/>
      <c r="H426" s="70"/>
      <c r="I426" s="71"/>
      <c r="J426" s="72"/>
      <c r="K426" s="126"/>
      <c r="L426" s="126"/>
    </row>
    <row r="427" spans="2:12" ht="75.150000000000006" hidden="1" x14ac:dyDescent="0.3">
      <c r="C427" s="13"/>
      <c r="D427" s="14" t="s">
        <v>159</v>
      </c>
      <c r="E427" s="41"/>
      <c r="F427" s="15">
        <v>0</v>
      </c>
      <c r="G427" s="69"/>
      <c r="H427" s="70"/>
      <c r="I427" s="71"/>
      <c r="J427" s="72"/>
      <c r="K427" s="126"/>
      <c r="L427" s="126"/>
    </row>
    <row r="428" spans="2:12" hidden="1" x14ac:dyDescent="0.3">
      <c r="C428" s="16"/>
      <c r="D428" s="17"/>
      <c r="E428" s="42"/>
      <c r="F428" s="18">
        <v>0</v>
      </c>
      <c r="G428" s="69"/>
      <c r="H428" s="70"/>
      <c r="I428" s="71"/>
      <c r="J428" s="72"/>
      <c r="K428" s="126"/>
      <c r="L428" s="126"/>
    </row>
    <row r="429" spans="2:12" hidden="1" x14ac:dyDescent="0.3">
      <c r="B429" s="59" t="s">
        <v>417</v>
      </c>
      <c r="C429" s="99"/>
      <c r="D429" s="100" t="s">
        <v>434</v>
      </c>
      <c r="E429" s="101" t="s">
        <v>90</v>
      </c>
      <c r="F429" s="102">
        <v>0</v>
      </c>
      <c r="G429" s="103"/>
      <c r="H429" s="104" t="s">
        <v>420</v>
      </c>
      <c r="I429" s="105" t="s">
        <v>417</v>
      </c>
      <c r="J429" s="106" t="s">
        <v>421</v>
      </c>
      <c r="K429" s="130"/>
      <c r="L429" s="130"/>
    </row>
    <row r="430" spans="2:12" hidden="1" x14ac:dyDescent="0.3">
      <c r="C430" s="16"/>
      <c r="D430" s="17"/>
      <c r="E430" s="42"/>
      <c r="F430" s="18">
        <v>0</v>
      </c>
      <c r="G430" s="69"/>
      <c r="H430" s="93"/>
      <c r="I430" s="71"/>
      <c r="J430" s="72"/>
      <c r="K430" s="126"/>
      <c r="L430" s="126"/>
    </row>
    <row r="431" spans="2:12" ht="30.05" hidden="1" x14ac:dyDescent="0.3">
      <c r="B431" s="59" t="s">
        <v>417</v>
      </c>
      <c r="C431" s="99"/>
      <c r="D431" s="100" t="s">
        <v>435</v>
      </c>
      <c r="E431" s="101" t="s">
        <v>90</v>
      </c>
      <c r="F431" s="102">
        <v>0</v>
      </c>
      <c r="G431" s="103"/>
      <c r="H431" s="104" t="s">
        <v>420</v>
      </c>
      <c r="I431" s="105" t="s">
        <v>417</v>
      </c>
      <c r="J431" s="106" t="s">
        <v>421</v>
      </c>
      <c r="K431" s="130"/>
      <c r="L431" s="130"/>
    </row>
    <row r="432" spans="2:12" hidden="1" x14ac:dyDescent="0.3">
      <c r="C432" s="16"/>
      <c r="D432" s="17"/>
      <c r="E432" s="42"/>
      <c r="F432" s="18">
        <v>0</v>
      </c>
      <c r="G432" s="69"/>
      <c r="H432" s="70"/>
      <c r="I432" s="71"/>
      <c r="J432" s="72"/>
      <c r="K432" s="126"/>
      <c r="L432" s="126"/>
    </row>
    <row r="433" spans="2:12" ht="75.150000000000006" hidden="1" x14ac:dyDescent="0.3">
      <c r="C433" s="13"/>
      <c r="D433" s="14" t="s">
        <v>158</v>
      </c>
      <c r="E433" s="41"/>
      <c r="F433" s="15">
        <v>0</v>
      </c>
      <c r="G433" s="69"/>
      <c r="H433" s="70"/>
      <c r="I433" s="71"/>
      <c r="J433" s="72"/>
      <c r="K433" s="126"/>
      <c r="L433" s="126"/>
    </row>
    <row r="434" spans="2:12" hidden="1" x14ac:dyDescent="0.3">
      <c r="C434" s="16"/>
      <c r="D434" s="17"/>
      <c r="E434" s="42"/>
      <c r="F434" s="18">
        <v>0</v>
      </c>
      <c r="G434" s="69"/>
      <c r="H434" s="70"/>
      <c r="I434" s="71"/>
      <c r="J434" s="72"/>
      <c r="K434" s="126"/>
      <c r="L434" s="126"/>
    </row>
    <row r="435" spans="2:12" hidden="1" x14ac:dyDescent="0.3">
      <c r="C435" s="16"/>
      <c r="D435" s="17" t="s">
        <v>680</v>
      </c>
      <c r="E435" s="42" t="s">
        <v>56</v>
      </c>
      <c r="F435" s="18">
        <v>0</v>
      </c>
      <c r="G435" s="69"/>
      <c r="H435" s="70" t="s">
        <v>318</v>
      </c>
      <c r="I435" s="71" t="s">
        <v>351</v>
      </c>
      <c r="J435" s="81"/>
      <c r="K435" s="126"/>
      <c r="L435" s="126"/>
    </row>
    <row r="436" spans="2:12" hidden="1" x14ac:dyDescent="0.3">
      <c r="C436" s="16"/>
      <c r="D436" s="17"/>
      <c r="E436" s="42"/>
      <c r="F436" s="18">
        <v>0</v>
      </c>
      <c r="G436" s="69"/>
      <c r="H436" s="70"/>
      <c r="I436" s="71"/>
      <c r="J436" s="72"/>
      <c r="K436" s="126"/>
      <c r="L436" s="126"/>
    </row>
    <row r="437" spans="2:12" ht="30.05" hidden="1" x14ac:dyDescent="0.3">
      <c r="C437" s="13"/>
      <c r="D437" s="14" t="s">
        <v>681</v>
      </c>
      <c r="E437" s="41"/>
      <c r="F437" s="15">
        <v>0</v>
      </c>
      <c r="G437" s="69"/>
      <c r="H437" s="70"/>
      <c r="I437" s="71"/>
      <c r="J437" s="72"/>
      <c r="K437" s="126"/>
      <c r="L437" s="126"/>
    </row>
    <row r="438" spans="2:12" hidden="1" x14ac:dyDescent="0.3">
      <c r="C438" s="16"/>
      <c r="D438" s="17"/>
      <c r="E438" s="42"/>
      <c r="F438" s="18">
        <v>0</v>
      </c>
      <c r="G438" s="69"/>
      <c r="H438" s="70"/>
      <c r="I438" s="71"/>
      <c r="J438" s="72"/>
      <c r="K438" s="126"/>
      <c r="L438" s="126"/>
    </row>
    <row r="439" spans="2:12" ht="30.05" hidden="1" x14ac:dyDescent="0.3">
      <c r="B439" s="59" t="s">
        <v>417</v>
      </c>
      <c r="C439" s="99"/>
      <c r="D439" s="107" t="s">
        <v>160</v>
      </c>
      <c r="E439" s="101" t="s">
        <v>90</v>
      </c>
      <c r="F439" s="102">
        <v>0</v>
      </c>
      <c r="G439" s="103"/>
      <c r="H439" s="104" t="s">
        <v>420</v>
      </c>
      <c r="I439" s="105" t="s">
        <v>417</v>
      </c>
      <c r="J439" s="106" t="s">
        <v>441</v>
      </c>
      <c r="K439" s="130"/>
      <c r="L439" s="130"/>
    </row>
    <row r="440" spans="2:12" hidden="1" x14ac:dyDescent="0.3">
      <c r="C440" s="16"/>
      <c r="D440" s="17"/>
      <c r="E440" s="42"/>
      <c r="F440" s="18">
        <v>0</v>
      </c>
      <c r="G440" s="69"/>
      <c r="H440" s="70" t="s">
        <v>422</v>
      </c>
      <c r="I440" s="71"/>
      <c r="J440" s="72"/>
      <c r="K440" s="126"/>
      <c r="L440" s="126"/>
    </row>
    <row r="441" spans="2:12" x14ac:dyDescent="0.3">
      <c r="C441" s="19"/>
      <c r="D441" s="20"/>
      <c r="E441" s="43"/>
      <c r="F441" s="21">
        <v>0</v>
      </c>
      <c r="G441" s="73"/>
      <c r="H441" s="74"/>
      <c r="I441" s="75"/>
      <c r="J441" s="76"/>
      <c r="K441" s="127"/>
      <c r="L441" s="127"/>
    </row>
    <row r="442" spans="2:12" hidden="1" x14ac:dyDescent="0.3">
      <c r="C442" s="22"/>
      <c r="D442" s="23"/>
      <c r="E442" s="45"/>
      <c r="F442" s="24">
        <v>0</v>
      </c>
      <c r="G442" s="77"/>
      <c r="H442" s="78"/>
      <c r="I442" s="79"/>
      <c r="J442" s="80"/>
      <c r="K442" s="128"/>
      <c r="L442" s="128"/>
    </row>
    <row r="443" spans="2:12" hidden="1" x14ac:dyDescent="0.3">
      <c r="C443" s="13"/>
      <c r="D443" s="14" t="s">
        <v>161</v>
      </c>
      <c r="E443" s="41"/>
      <c r="F443" s="15">
        <v>0</v>
      </c>
      <c r="G443" s="69"/>
      <c r="H443" s="70"/>
      <c r="I443" s="71"/>
      <c r="J443" s="72"/>
      <c r="K443" s="126"/>
      <c r="L443" s="126"/>
    </row>
    <row r="444" spans="2:12" hidden="1" x14ac:dyDescent="0.3">
      <c r="C444" s="16"/>
      <c r="D444" s="17"/>
      <c r="E444" s="42"/>
      <c r="F444" s="18">
        <v>0</v>
      </c>
      <c r="G444" s="69"/>
      <c r="H444" s="70"/>
      <c r="I444" s="71"/>
      <c r="J444" s="72"/>
      <c r="K444" s="126"/>
      <c r="L444" s="126"/>
    </row>
    <row r="445" spans="2:12" hidden="1" x14ac:dyDescent="0.3">
      <c r="C445" s="13"/>
      <c r="D445" s="14" t="s">
        <v>162</v>
      </c>
      <c r="E445" s="41"/>
      <c r="F445" s="15">
        <v>0</v>
      </c>
      <c r="G445" s="69"/>
      <c r="H445" s="70"/>
      <c r="I445" s="71"/>
      <c r="J445" s="72"/>
      <c r="K445" s="126"/>
      <c r="L445" s="126"/>
    </row>
    <row r="446" spans="2:12" hidden="1" x14ac:dyDescent="0.3">
      <c r="C446" s="16"/>
      <c r="D446" s="17"/>
      <c r="E446" s="42"/>
      <c r="F446" s="18">
        <v>0</v>
      </c>
      <c r="G446" s="69"/>
      <c r="H446" s="70"/>
      <c r="I446" s="71"/>
      <c r="J446" s="72"/>
      <c r="K446" s="126"/>
      <c r="L446" s="126"/>
    </row>
    <row r="447" spans="2:12" hidden="1" x14ac:dyDescent="0.3">
      <c r="C447" s="13"/>
      <c r="D447" s="14" t="s">
        <v>163</v>
      </c>
      <c r="E447" s="41"/>
      <c r="F447" s="15">
        <v>0</v>
      </c>
      <c r="G447" s="69"/>
      <c r="H447" s="70"/>
      <c r="I447" s="71"/>
      <c r="J447" s="72"/>
      <c r="K447" s="126"/>
      <c r="L447" s="126"/>
    </row>
    <row r="448" spans="2:12" hidden="1" x14ac:dyDescent="0.3">
      <c r="C448" s="16"/>
      <c r="D448" s="17"/>
      <c r="E448" s="42"/>
      <c r="F448" s="18">
        <v>0</v>
      </c>
      <c r="G448" s="69"/>
      <c r="H448" s="70"/>
      <c r="I448" s="71"/>
      <c r="J448" s="72"/>
      <c r="K448" s="126"/>
      <c r="L448" s="126"/>
    </row>
    <row r="449" spans="2:12" hidden="1" x14ac:dyDescent="0.3">
      <c r="B449" s="59" t="s">
        <v>490</v>
      </c>
      <c r="C449" s="99"/>
      <c r="D449" s="100" t="s">
        <v>164</v>
      </c>
      <c r="E449" s="101" t="s">
        <v>29</v>
      </c>
      <c r="F449" s="102">
        <v>0</v>
      </c>
      <c r="G449" s="103"/>
      <c r="H449" s="109" t="s">
        <v>318</v>
      </c>
      <c r="I449" s="110" t="s">
        <v>490</v>
      </c>
      <c r="J449" s="106" t="s">
        <v>492</v>
      </c>
      <c r="K449" s="132"/>
      <c r="L449" s="132"/>
    </row>
    <row r="450" spans="2:12" hidden="1" x14ac:dyDescent="0.3">
      <c r="C450" s="16"/>
      <c r="D450" s="17"/>
      <c r="E450" s="42"/>
      <c r="F450" s="18">
        <v>0</v>
      </c>
      <c r="G450" s="69"/>
      <c r="H450" s="70"/>
      <c r="I450" s="71"/>
      <c r="J450" s="72"/>
      <c r="K450" s="126"/>
      <c r="L450" s="126"/>
    </row>
    <row r="451" spans="2:12" ht="30.05" hidden="1" x14ac:dyDescent="0.3">
      <c r="B451" s="59" t="s">
        <v>491</v>
      </c>
      <c r="C451" s="99"/>
      <c r="D451" s="100" t="s">
        <v>165</v>
      </c>
      <c r="E451" s="101" t="s">
        <v>29</v>
      </c>
      <c r="F451" s="102">
        <v>0</v>
      </c>
      <c r="G451" s="103"/>
      <c r="H451" s="109" t="s">
        <v>318</v>
      </c>
      <c r="I451" s="110" t="s">
        <v>491</v>
      </c>
      <c r="J451" s="106" t="s">
        <v>493</v>
      </c>
      <c r="K451" s="132"/>
      <c r="L451" s="132"/>
    </row>
    <row r="452" spans="2:12" hidden="1" x14ac:dyDescent="0.3">
      <c r="C452" s="16"/>
      <c r="D452" s="17"/>
      <c r="E452" s="42"/>
      <c r="F452" s="18">
        <v>0</v>
      </c>
      <c r="G452" s="69"/>
      <c r="H452" s="70"/>
      <c r="I452" s="71"/>
      <c r="J452" s="72"/>
      <c r="K452" s="126"/>
      <c r="L452" s="126"/>
    </row>
    <row r="453" spans="2:12" hidden="1" x14ac:dyDescent="0.3">
      <c r="C453" s="16"/>
      <c r="D453" s="17" t="s">
        <v>166</v>
      </c>
      <c r="E453" s="42" t="s">
        <v>90</v>
      </c>
      <c r="F453" s="18">
        <v>0</v>
      </c>
      <c r="G453" s="69"/>
      <c r="H453" s="70" t="s">
        <v>318</v>
      </c>
      <c r="I453" s="71"/>
      <c r="J453" s="81" t="s">
        <v>327</v>
      </c>
      <c r="K453" s="126"/>
      <c r="L453" s="126"/>
    </row>
    <row r="454" spans="2:12" hidden="1" x14ac:dyDescent="0.3">
      <c r="C454" s="16"/>
      <c r="D454" s="17"/>
      <c r="E454" s="42"/>
      <c r="F454" s="18">
        <v>0</v>
      </c>
      <c r="G454" s="69"/>
      <c r="H454" s="70"/>
      <c r="I454" s="71"/>
      <c r="J454" s="72"/>
      <c r="K454" s="126"/>
      <c r="L454" s="126"/>
    </row>
    <row r="455" spans="2:12" hidden="1" x14ac:dyDescent="0.3">
      <c r="C455" s="13"/>
      <c r="D455" s="14" t="s">
        <v>167</v>
      </c>
      <c r="E455" s="41"/>
      <c r="F455" s="15">
        <v>0</v>
      </c>
      <c r="G455" s="69"/>
      <c r="H455" s="70"/>
      <c r="I455" s="71"/>
      <c r="J455" s="72"/>
      <c r="K455" s="126"/>
      <c r="L455" s="126"/>
    </row>
    <row r="456" spans="2:12" hidden="1" x14ac:dyDescent="0.3">
      <c r="C456" s="16"/>
      <c r="D456" s="17"/>
      <c r="E456" s="42"/>
      <c r="F456" s="18">
        <v>0</v>
      </c>
      <c r="G456" s="69"/>
      <c r="H456" s="70"/>
      <c r="I456" s="71"/>
      <c r="J456" s="72"/>
      <c r="K456" s="126"/>
      <c r="L456" s="126"/>
    </row>
    <row r="457" spans="2:12" hidden="1" x14ac:dyDescent="0.3">
      <c r="B457" s="59" t="s">
        <v>496</v>
      </c>
      <c r="C457" s="99"/>
      <c r="D457" s="100" t="s">
        <v>168</v>
      </c>
      <c r="E457" s="101" t="s">
        <v>90</v>
      </c>
      <c r="F457" s="102">
        <v>0</v>
      </c>
      <c r="G457" s="103"/>
      <c r="H457" s="109" t="s">
        <v>318</v>
      </c>
      <c r="I457" s="110" t="s">
        <v>496</v>
      </c>
      <c r="J457" s="106" t="s">
        <v>497</v>
      </c>
      <c r="K457" s="132"/>
      <c r="L457" s="132"/>
    </row>
    <row r="458" spans="2:12" hidden="1" x14ac:dyDescent="0.3">
      <c r="C458" s="16"/>
      <c r="D458" s="17"/>
      <c r="E458" s="42"/>
      <c r="F458" s="18">
        <v>0</v>
      </c>
      <c r="G458" s="69"/>
      <c r="H458" s="70"/>
      <c r="I458" s="71"/>
      <c r="J458" s="72"/>
      <c r="K458" s="126"/>
      <c r="L458" s="126"/>
    </row>
    <row r="459" spans="2:12" hidden="1" x14ac:dyDescent="0.3">
      <c r="B459" s="59" t="s">
        <v>494</v>
      </c>
      <c r="C459" s="99"/>
      <c r="D459" s="100" t="s">
        <v>169</v>
      </c>
      <c r="E459" s="101" t="s">
        <v>51</v>
      </c>
      <c r="F459" s="102">
        <v>0</v>
      </c>
      <c r="G459" s="103"/>
      <c r="H459" s="109" t="s">
        <v>318</v>
      </c>
      <c r="I459" s="110" t="s">
        <v>494</v>
      </c>
      <c r="J459" s="106" t="s">
        <v>495</v>
      </c>
      <c r="K459" s="132"/>
      <c r="L459" s="132"/>
    </row>
    <row r="460" spans="2:12" hidden="1" x14ac:dyDescent="0.3">
      <c r="C460" s="16"/>
      <c r="D460" s="17"/>
      <c r="E460" s="42"/>
      <c r="F460" s="18">
        <v>0</v>
      </c>
      <c r="G460" s="69"/>
      <c r="H460" s="70"/>
      <c r="I460" s="71"/>
      <c r="J460" s="72"/>
      <c r="K460" s="126"/>
      <c r="L460" s="126"/>
    </row>
    <row r="461" spans="2:12" hidden="1" x14ac:dyDescent="0.3">
      <c r="B461" s="59" t="s">
        <v>453</v>
      </c>
      <c r="C461" s="99"/>
      <c r="D461" s="100" t="s">
        <v>170</v>
      </c>
      <c r="E461" s="101" t="s">
        <v>51</v>
      </c>
      <c r="F461" s="102">
        <v>0</v>
      </c>
      <c r="G461" s="103"/>
      <c r="H461" s="111" t="s">
        <v>322</v>
      </c>
      <c r="I461" s="110" t="s">
        <v>453</v>
      </c>
      <c r="J461" s="106" t="s">
        <v>487</v>
      </c>
      <c r="K461" s="132"/>
      <c r="L461" s="132"/>
    </row>
    <row r="462" spans="2:12" hidden="1" x14ac:dyDescent="0.3">
      <c r="C462" s="16"/>
      <c r="D462" s="17"/>
      <c r="E462" s="42"/>
      <c r="F462" s="18">
        <v>0</v>
      </c>
      <c r="G462" s="69"/>
      <c r="H462" s="93"/>
      <c r="I462" s="88" t="s">
        <v>454</v>
      </c>
      <c r="J462" s="81"/>
      <c r="K462" s="129"/>
      <c r="L462" s="129"/>
    </row>
    <row r="463" spans="2:12" hidden="1" x14ac:dyDescent="0.3">
      <c r="C463" s="16"/>
      <c r="D463" s="17" t="s">
        <v>290</v>
      </c>
      <c r="E463" s="42"/>
      <c r="F463" s="18">
        <v>0</v>
      </c>
      <c r="G463" s="69"/>
      <c r="H463" s="93"/>
      <c r="I463" s="88" t="s">
        <v>455</v>
      </c>
      <c r="J463" s="81"/>
      <c r="K463" s="129"/>
      <c r="L463" s="129"/>
    </row>
    <row r="464" spans="2:12" hidden="1" x14ac:dyDescent="0.3">
      <c r="C464" s="16"/>
      <c r="D464" s="17"/>
      <c r="E464" s="42"/>
      <c r="F464" s="18">
        <v>0</v>
      </c>
      <c r="G464" s="69"/>
      <c r="H464" s="93"/>
      <c r="I464" s="88" t="s">
        <v>456</v>
      </c>
      <c r="J464" s="81"/>
      <c r="K464" s="129"/>
      <c r="L464" s="129"/>
    </row>
    <row r="465" spans="2:12" hidden="1" x14ac:dyDescent="0.3">
      <c r="C465" s="16"/>
      <c r="D465" s="17"/>
      <c r="E465" s="42"/>
      <c r="F465" s="18">
        <v>0</v>
      </c>
      <c r="G465" s="69"/>
      <c r="H465" s="93"/>
      <c r="I465" s="88" t="s">
        <v>457</v>
      </c>
      <c r="J465" s="81"/>
      <c r="K465" s="129"/>
      <c r="L465" s="129"/>
    </row>
    <row r="466" spans="2:12" hidden="1" x14ac:dyDescent="0.3">
      <c r="C466" s="16"/>
      <c r="D466" s="17"/>
      <c r="E466" s="42"/>
      <c r="F466" s="18">
        <v>0</v>
      </c>
      <c r="G466" s="69"/>
      <c r="H466" s="93"/>
      <c r="I466" s="88" t="s">
        <v>450</v>
      </c>
      <c r="J466" s="81"/>
      <c r="K466" s="129"/>
      <c r="L466" s="129"/>
    </row>
    <row r="467" spans="2:12" hidden="1" x14ac:dyDescent="0.3">
      <c r="C467" s="16"/>
      <c r="D467" s="17"/>
      <c r="E467" s="42"/>
      <c r="F467" s="18">
        <v>0</v>
      </c>
      <c r="G467" s="69"/>
      <c r="H467" s="93"/>
      <c r="I467" s="88" t="s">
        <v>458</v>
      </c>
      <c r="J467" s="81"/>
      <c r="K467" s="129"/>
      <c r="L467" s="129"/>
    </row>
    <row r="468" spans="2:12" hidden="1" x14ac:dyDescent="0.3">
      <c r="C468" s="16"/>
      <c r="D468" s="17"/>
      <c r="E468" s="42"/>
      <c r="F468" s="18">
        <v>0</v>
      </c>
      <c r="G468" s="69"/>
      <c r="H468" s="93"/>
      <c r="I468" s="88" t="s">
        <v>459</v>
      </c>
      <c r="J468" s="81"/>
      <c r="K468" s="129"/>
      <c r="L468" s="129"/>
    </row>
    <row r="469" spans="2:12" hidden="1" x14ac:dyDescent="0.3">
      <c r="C469" s="16"/>
      <c r="D469" s="17"/>
      <c r="E469" s="42"/>
      <c r="F469" s="18">
        <v>0</v>
      </c>
      <c r="G469" s="69"/>
      <c r="H469" s="93"/>
      <c r="I469" s="88" t="s">
        <v>460</v>
      </c>
      <c r="J469" s="81"/>
      <c r="K469" s="129"/>
      <c r="L469" s="129"/>
    </row>
    <row r="470" spans="2:12" hidden="1" x14ac:dyDescent="0.3">
      <c r="C470" s="16"/>
      <c r="D470" s="17"/>
      <c r="E470" s="42"/>
      <c r="F470" s="18">
        <v>0</v>
      </c>
      <c r="G470" s="69"/>
      <c r="H470" s="70"/>
      <c r="I470" s="71"/>
      <c r="J470" s="72"/>
      <c r="K470" s="126"/>
      <c r="L470" s="126"/>
    </row>
    <row r="471" spans="2:12" hidden="1" x14ac:dyDescent="0.3">
      <c r="B471" s="59" t="s">
        <v>488</v>
      </c>
      <c r="C471" s="99"/>
      <c r="D471" s="100" t="s">
        <v>171</v>
      </c>
      <c r="E471" s="101" t="s">
        <v>51</v>
      </c>
      <c r="F471" s="102">
        <v>0</v>
      </c>
      <c r="G471" s="103"/>
      <c r="H471" s="109" t="s">
        <v>318</v>
      </c>
      <c r="I471" s="110" t="s">
        <v>488</v>
      </c>
      <c r="J471" s="106" t="s">
        <v>489</v>
      </c>
      <c r="K471" s="132"/>
      <c r="L471" s="132"/>
    </row>
    <row r="472" spans="2:12" hidden="1" x14ac:dyDescent="0.3">
      <c r="C472" s="16"/>
      <c r="D472" s="17"/>
      <c r="E472" s="42"/>
      <c r="F472" s="18">
        <v>0</v>
      </c>
      <c r="G472" s="69"/>
      <c r="H472" s="70"/>
      <c r="I472" s="71"/>
      <c r="J472" s="72"/>
      <c r="K472" s="126"/>
      <c r="L472" s="126"/>
    </row>
    <row r="473" spans="2:12" hidden="1" x14ac:dyDescent="0.3">
      <c r="C473" s="13"/>
      <c r="D473" s="14" t="s">
        <v>167</v>
      </c>
      <c r="E473" s="41"/>
      <c r="F473" s="15">
        <v>0</v>
      </c>
      <c r="G473" s="69"/>
      <c r="H473" s="70"/>
      <c r="I473" s="71"/>
      <c r="J473" s="72"/>
      <c r="K473" s="126"/>
      <c r="L473" s="126"/>
    </row>
    <row r="474" spans="2:12" hidden="1" x14ac:dyDescent="0.3">
      <c r="C474" s="16"/>
      <c r="D474" s="17"/>
      <c r="E474" s="42"/>
      <c r="F474" s="18">
        <v>0</v>
      </c>
      <c r="G474" s="69"/>
      <c r="H474" s="70"/>
      <c r="I474" s="71"/>
      <c r="J474" s="72"/>
      <c r="K474" s="126"/>
      <c r="L474" s="126"/>
    </row>
    <row r="475" spans="2:12" hidden="1" x14ac:dyDescent="0.3">
      <c r="B475" s="59" t="s">
        <v>453</v>
      </c>
      <c r="C475" s="99"/>
      <c r="D475" s="100" t="s">
        <v>172</v>
      </c>
      <c r="E475" s="101" t="s">
        <v>90</v>
      </c>
      <c r="F475" s="102">
        <v>0</v>
      </c>
      <c r="G475" s="103"/>
      <c r="H475" s="111" t="s">
        <v>323</v>
      </c>
      <c r="I475" s="110" t="s">
        <v>496</v>
      </c>
      <c r="J475" s="106" t="s">
        <v>497</v>
      </c>
      <c r="K475" s="132"/>
      <c r="L475" s="132"/>
    </row>
    <row r="476" spans="2:12" hidden="1" x14ac:dyDescent="0.3">
      <c r="C476" s="16"/>
      <c r="D476" s="17"/>
      <c r="E476" s="42"/>
      <c r="F476" s="18">
        <v>0</v>
      </c>
      <c r="G476" s="69"/>
      <c r="H476" s="70"/>
      <c r="I476" s="71"/>
      <c r="J476" s="72"/>
      <c r="K476" s="126"/>
      <c r="L476" s="126"/>
    </row>
    <row r="477" spans="2:12" hidden="1" x14ac:dyDescent="0.3">
      <c r="B477" s="59" t="s">
        <v>498</v>
      </c>
      <c r="C477" s="99"/>
      <c r="D477" s="100" t="s">
        <v>173</v>
      </c>
      <c r="E477" s="101" t="s">
        <v>51</v>
      </c>
      <c r="F477" s="102">
        <v>0</v>
      </c>
      <c r="G477" s="103"/>
      <c r="H477" s="109" t="s">
        <v>318</v>
      </c>
      <c r="I477" s="110" t="s">
        <v>498</v>
      </c>
      <c r="J477" s="106" t="s">
        <v>503</v>
      </c>
      <c r="K477" s="132"/>
      <c r="L477" s="132"/>
    </row>
    <row r="478" spans="2:12" hidden="1" x14ac:dyDescent="0.3">
      <c r="C478" s="16"/>
      <c r="D478" s="17"/>
      <c r="E478" s="42"/>
      <c r="F478" s="18">
        <v>0</v>
      </c>
      <c r="G478" s="69"/>
      <c r="H478" s="70"/>
      <c r="I478" s="71"/>
      <c r="J478" s="72"/>
      <c r="K478" s="126"/>
      <c r="L478" s="126"/>
    </row>
    <row r="479" spans="2:12" hidden="1" x14ac:dyDescent="0.3">
      <c r="B479" s="59" t="s">
        <v>499</v>
      </c>
      <c r="C479" s="99"/>
      <c r="D479" s="100" t="s">
        <v>174</v>
      </c>
      <c r="E479" s="101" t="s">
        <v>51</v>
      </c>
      <c r="F479" s="102">
        <v>0</v>
      </c>
      <c r="G479" s="103"/>
      <c r="H479" s="109" t="s">
        <v>318</v>
      </c>
      <c r="I479" s="110" t="s">
        <v>499</v>
      </c>
      <c r="J479" s="106" t="s">
        <v>504</v>
      </c>
      <c r="K479" s="132"/>
      <c r="L479" s="132"/>
    </row>
    <row r="480" spans="2:12" hidden="1" x14ac:dyDescent="0.3">
      <c r="C480" s="16"/>
      <c r="D480" s="17"/>
      <c r="E480" s="42"/>
      <c r="F480" s="18">
        <v>0</v>
      </c>
      <c r="G480" s="69"/>
      <c r="H480" s="70"/>
      <c r="I480" s="71"/>
      <c r="J480" s="72"/>
      <c r="K480" s="126"/>
      <c r="L480" s="126"/>
    </row>
    <row r="481" spans="2:12" ht="30.05" hidden="1" x14ac:dyDescent="0.3">
      <c r="B481" s="59" t="s">
        <v>500</v>
      </c>
      <c r="C481" s="99"/>
      <c r="D481" s="100" t="s">
        <v>175</v>
      </c>
      <c r="E481" s="101" t="s">
        <v>51</v>
      </c>
      <c r="F481" s="102">
        <v>0</v>
      </c>
      <c r="G481" s="103"/>
      <c r="H481" s="109" t="s">
        <v>318</v>
      </c>
      <c r="I481" s="110" t="s">
        <v>500</v>
      </c>
      <c r="J481" s="106" t="s">
        <v>505</v>
      </c>
      <c r="K481" s="132"/>
      <c r="L481" s="132"/>
    </row>
    <row r="482" spans="2:12" hidden="1" x14ac:dyDescent="0.3">
      <c r="C482" s="16"/>
      <c r="D482" s="17"/>
      <c r="E482" s="42"/>
      <c r="F482" s="18">
        <v>0</v>
      </c>
      <c r="G482" s="69"/>
      <c r="H482" s="70"/>
      <c r="I482" s="71"/>
      <c r="J482" s="72"/>
      <c r="K482" s="126"/>
      <c r="L482" s="126"/>
    </row>
    <row r="483" spans="2:12" hidden="1" x14ac:dyDescent="0.3">
      <c r="B483" s="59" t="s">
        <v>501</v>
      </c>
      <c r="C483" s="99"/>
      <c r="D483" s="100" t="s">
        <v>176</v>
      </c>
      <c r="E483" s="101" t="s">
        <v>51</v>
      </c>
      <c r="F483" s="102">
        <v>0</v>
      </c>
      <c r="G483" s="103"/>
      <c r="H483" s="111" t="s">
        <v>322</v>
      </c>
      <c r="I483" s="110" t="s">
        <v>501</v>
      </c>
      <c r="J483" s="106" t="s">
        <v>502</v>
      </c>
      <c r="K483" s="132"/>
      <c r="L483" s="132"/>
    </row>
    <row r="484" spans="2:12" hidden="1" x14ac:dyDescent="0.3">
      <c r="C484" s="16"/>
      <c r="D484" s="17"/>
      <c r="E484" s="42"/>
      <c r="F484" s="18">
        <v>0</v>
      </c>
      <c r="G484" s="69"/>
      <c r="H484" s="70"/>
      <c r="I484" s="71"/>
      <c r="J484" s="72"/>
      <c r="K484" s="126"/>
      <c r="L484" s="126"/>
    </row>
    <row r="485" spans="2:12" hidden="1" x14ac:dyDescent="0.3">
      <c r="B485" s="59" t="s">
        <v>453</v>
      </c>
      <c r="C485" s="99"/>
      <c r="D485" s="100" t="s">
        <v>177</v>
      </c>
      <c r="E485" s="101" t="s">
        <v>51</v>
      </c>
      <c r="F485" s="102">
        <v>0</v>
      </c>
      <c r="G485" s="103"/>
      <c r="H485" s="111" t="s">
        <v>322</v>
      </c>
      <c r="I485" s="110" t="s">
        <v>453</v>
      </c>
      <c r="J485" s="106" t="s">
        <v>486</v>
      </c>
      <c r="K485" s="132"/>
      <c r="L485" s="132"/>
    </row>
    <row r="486" spans="2:12" hidden="1" x14ac:dyDescent="0.3">
      <c r="C486" s="16"/>
      <c r="D486" s="17"/>
      <c r="E486" s="42"/>
      <c r="F486" s="18">
        <v>0</v>
      </c>
      <c r="G486" s="69"/>
      <c r="H486" s="93"/>
      <c r="I486" s="88" t="s">
        <v>454</v>
      </c>
      <c r="J486" s="81"/>
      <c r="K486" s="129"/>
      <c r="L486" s="129"/>
    </row>
    <row r="487" spans="2:12" hidden="1" x14ac:dyDescent="0.3">
      <c r="C487" s="16"/>
      <c r="D487" s="17" t="s">
        <v>290</v>
      </c>
      <c r="E487" s="42"/>
      <c r="F487" s="18">
        <v>0</v>
      </c>
      <c r="G487" s="69"/>
      <c r="H487" s="93"/>
      <c r="I487" s="88" t="s">
        <v>455</v>
      </c>
      <c r="J487" s="81"/>
      <c r="K487" s="129"/>
      <c r="L487" s="129"/>
    </row>
    <row r="488" spans="2:12" hidden="1" x14ac:dyDescent="0.3">
      <c r="C488" s="16"/>
      <c r="D488" s="17"/>
      <c r="E488" s="42"/>
      <c r="F488" s="18">
        <v>0</v>
      </c>
      <c r="G488" s="69"/>
      <c r="H488" s="93"/>
      <c r="I488" s="88" t="s">
        <v>456</v>
      </c>
      <c r="J488" s="81"/>
      <c r="K488" s="129"/>
      <c r="L488" s="129"/>
    </row>
    <row r="489" spans="2:12" hidden="1" x14ac:dyDescent="0.3">
      <c r="C489" s="16"/>
      <c r="D489" s="17"/>
      <c r="E489" s="42"/>
      <c r="F489" s="18">
        <v>0</v>
      </c>
      <c r="G489" s="69"/>
      <c r="H489" s="93"/>
      <c r="I489" s="88" t="s">
        <v>457</v>
      </c>
      <c r="J489" s="81"/>
      <c r="K489" s="129"/>
      <c r="L489" s="129"/>
    </row>
    <row r="490" spans="2:12" hidden="1" x14ac:dyDescent="0.3">
      <c r="C490" s="16"/>
      <c r="D490" s="17"/>
      <c r="E490" s="42"/>
      <c r="F490" s="18">
        <v>0</v>
      </c>
      <c r="G490" s="69"/>
      <c r="H490" s="93"/>
      <c r="I490" s="88" t="s">
        <v>450</v>
      </c>
      <c r="J490" s="81"/>
      <c r="K490" s="129"/>
      <c r="L490" s="129"/>
    </row>
    <row r="491" spans="2:12" hidden="1" x14ac:dyDescent="0.3">
      <c r="C491" s="16"/>
      <c r="D491" s="17"/>
      <c r="E491" s="42"/>
      <c r="F491" s="18">
        <v>0</v>
      </c>
      <c r="G491" s="69"/>
      <c r="H491" s="93"/>
      <c r="I491" s="88" t="s">
        <v>458</v>
      </c>
      <c r="J491" s="81"/>
      <c r="K491" s="129"/>
      <c r="L491" s="129"/>
    </row>
    <row r="492" spans="2:12" hidden="1" x14ac:dyDescent="0.3">
      <c r="C492" s="16"/>
      <c r="D492" s="17"/>
      <c r="E492" s="42"/>
      <c r="F492" s="18">
        <v>0</v>
      </c>
      <c r="G492" s="69"/>
      <c r="H492" s="93"/>
      <c r="I492" s="88" t="s">
        <v>459</v>
      </c>
      <c r="J492" s="81"/>
      <c r="K492" s="129"/>
      <c r="L492" s="129"/>
    </row>
    <row r="493" spans="2:12" hidden="1" x14ac:dyDescent="0.3">
      <c r="C493" s="16"/>
      <c r="D493" s="17"/>
      <c r="E493" s="42"/>
      <c r="F493" s="18">
        <v>0</v>
      </c>
      <c r="G493" s="69"/>
      <c r="H493" s="93"/>
      <c r="I493" s="88" t="s">
        <v>460</v>
      </c>
      <c r="J493" s="81"/>
      <c r="K493" s="129"/>
      <c r="L493" s="129"/>
    </row>
    <row r="494" spans="2:12" hidden="1" x14ac:dyDescent="0.3">
      <c r="C494" s="16"/>
      <c r="D494" s="17"/>
      <c r="E494" s="42"/>
      <c r="F494" s="18">
        <v>0</v>
      </c>
      <c r="G494" s="69"/>
      <c r="H494" s="70"/>
      <c r="I494" s="71"/>
      <c r="J494" s="72"/>
      <c r="K494" s="126"/>
      <c r="L494" s="126"/>
    </row>
    <row r="495" spans="2:12" hidden="1" x14ac:dyDescent="0.3">
      <c r="B495" s="59" t="s">
        <v>485</v>
      </c>
      <c r="C495" s="99"/>
      <c r="D495" s="100" t="s">
        <v>178</v>
      </c>
      <c r="E495" s="101" t="s">
        <v>51</v>
      </c>
      <c r="F495" s="102">
        <v>0</v>
      </c>
      <c r="G495" s="103"/>
      <c r="H495" s="109" t="s">
        <v>318</v>
      </c>
      <c r="I495" s="110" t="s">
        <v>485</v>
      </c>
      <c r="J495" s="106" t="s">
        <v>506</v>
      </c>
      <c r="K495" s="132"/>
      <c r="L495" s="132"/>
    </row>
    <row r="496" spans="2:12" hidden="1" x14ac:dyDescent="0.3">
      <c r="C496" s="16"/>
      <c r="D496" s="17"/>
      <c r="E496" s="42"/>
      <c r="F496" s="18">
        <v>0</v>
      </c>
      <c r="G496" s="69"/>
      <c r="H496" s="70"/>
      <c r="I496" s="71"/>
      <c r="J496" s="72"/>
      <c r="K496" s="126"/>
      <c r="L496" s="126"/>
    </row>
    <row r="497" spans="2:12" hidden="1" x14ac:dyDescent="0.3">
      <c r="B497" s="59" t="s">
        <v>451</v>
      </c>
      <c r="C497" s="99"/>
      <c r="D497" s="100" t="s">
        <v>179</v>
      </c>
      <c r="E497" s="101" t="s">
        <v>51</v>
      </c>
      <c r="F497" s="102">
        <v>0</v>
      </c>
      <c r="G497" s="103"/>
      <c r="H497" s="109" t="s">
        <v>318</v>
      </c>
      <c r="I497" s="110" t="s">
        <v>451</v>
      </c>
      <c r="J497" s="106" t="s">
        <v>507</v>
      </c>
      <c r="K497" s="132"/>
      <c r="L497" s="132"/>
    </row>
    <row r="498" spans="2:12" hidden="1" x14ac:dyDescent="0.3">
      <c r="C498" s="16"/>
      <c r="D498" s="17"/>
      <c r="E498" s="42"/>
      <c r="F498" s="18">
        <v>0</v>
      </c>
      <c r="G498" s="69"/>
      <c r="H498" s="70"/>
      <c r="I498" s="88"/>
      <c r="J498" s="81"/>
      <c r="K498" s="129"/>
      <c r="L498" s="129"/>
    </row>
    <row r="499" spans="2:12" hidden="1" x14ac:dyDescent="0.3">
      <c r="C499" s="16"/>
      <c r="D499" s="17"/>
      <c r="E499" s="42"/>
      <c r="F499" s="18">
        <v>0</v>
      </c>
      <c r="G499" s="69"/>
      <c r="H499" s="70"/>
      <c r="I499" s="71"/>
      <c r="J499" s="72"/>
      <c r="K499" s="126"/>
      <c r="L499" s="126"/>
    </row>
    <row r="500" spans="2:12" hidden="1" x14ac:dyDescent="0.3">
      <c r="C500" s="13"/>
      <c r="D500" s="14" t="s">
        <v>180</v>
      </c>
      <c r="E500" s="41"/>
      <c r="F500" s="15">
        <v>0</v>
      </c>
      <c r="G500" s="69"/>
      <c r="H500" s="70"/>
      <c r="I500" s="71"/>
      <c r="J500" s="72"/>
      <c r="K500" s="126"/>
      <c r="L500" s="126"/>
    </row>
    <row r="501" spans="2:12" hidden="1" x14ac:dyDescent="0.3">
      <c r="C501" s="16"/>
      <c r="D501" s="17"/>
      <c r="E501" s="42"/>
      <c r="F501" s="18">
        <v>0</v>
      </c>
      <c r="G501" s="69"/>
      <c r="H501" s="70"/>
      <c r="I501" s="71"/>
      <c r="J501" s="72"/>
      <c r="K501" s="126"/>
      <c r="L501" s="126"/>
    </row>
    <row r="502" spans="2:12" hidden="1" x14ac:dyDescent="0.3">
      <c r="B502" s="59" t="s">
        <v>451</v>
      </c>
      <c r="C502" s="99"/>
      <c r="D502" s="100" t="s">
        <v>181</v>
      </c>
      <c r="E502" s="101" t="s">
        <v>51</v>
      </c>
      <c r="F502" s="102">
        <v>0</v>
      </c>
      <c r="G502" s="103"/>
      <c r="H502" s="112" t="s">
        <v>478</v>
      </c>
      <c r="I502" s="110" t="s">
        <v>451</v>
      </c>
      <c r="J502" s="106" t="s">
        <v>507</v>
      </c>
      <c r="K502" s="132"/>
      <c r="L502" s="132"/>
    </row>
    <row r="503" spans="2:12" hidden="1" x14ac:dyDescent="0.3">
      <c r="C503" s="16"/>
      <c r="D503" s="17"/>
      <c r="E503" s="42"/>
      <c r="F503" s="18">
        <v>0</v>
      </c>
      <c r="G503" s="69"/>
      <c r="H503" s="83"/>
      <c r="I503" s="88"/>
      <c r="J503" s="89" t="s">
        <v>480</v>
      </c>
      <c r="K503" s="129"/>
      <c r="L503" s="129"/>
    </row>
    <row r="504" spans="2:12" hidden="1" x14ac:dyDescent="0.3">
      <c r="C504" s="16"/>
      <c r="D504" s="17"/>
      <c r="E504" s="42"/>
      <c r="F504" s="18">
        <v>0</v>
      </c>
      <c r="G504" s="69"/>
      <c r="H504" s="70"/>
      <c r="I504" s="71"/>
      <c r="J504" s="89"/>
      <c r="K504" s="126"/>
      <c r="L504" s="126"/>
    </row>
    <row r="505" spans="2:12" hidden="1" x14ac:dyDescent="0.3">
      <c r="B505" s="59" t="s">
        <v>452</v>
      </c>
      <c r="C505" s="99"/>
      <c r="D505" s="100" t="s">
        <v>182</v>
      </c>
      <c r="E505" s="101" t="s">
        <v>51</v>
      </c>
      <c r="F505" s="102">
        <v>0</v>
      </c>
      <c r="G505" s="103"/>
      <c r="H505" s="112" t="s">
        <v>478</v>
      </c>
      <c r="I505" s="110" t="s">
        <v>452</v>
      </c>
      <c r="J505" s="106" t="s">
        <v>508</v>
      </c>
      <c r="K505" s="132"/>
      <c r="L505" s="132"/>
    </row>
    <row r="506" spans="2:12" hidden="1" x14ac:dyDescent="0.3">
      <c r="C506" s="16"/>
      <c r="D506" s="17"/>
      <c r="E506" s="42"/>
      <c r="F506" s="18">
        <v>0</v>
      </c>
      <c r="G506" s="69"/>
      <c r="H506" s="83"/>
      <c r="I506" s="88"/>
      <c r="J506" s="89" t="s">
        <v>480</v>
      </c>
      <c r="K506" s="129"/>
      <c r="L506" s="129"/>
    </row>
    <row r="507" spans="2:12" hidden="1" x14ac:dyDescent="0.3">
      <c r="C507" s="16"/>
      <c r="D507" s="17"/>
      <c r="E507" s="42"/>
      <c r="F507" s="18">
        <v>0</v>
      </c>
      <c r="G507" s="69"/>
      <c r="H507" s="70"/>
      <c r="I507" s="71"/>
      <c r="J507" s="89"/>
      <c r="K507" s="126"/>
      <c r="L507" s="126"/>
    </row>
    <row r="508" spans="2:12" hidden="1" x14ac:dyDescent="0.3">
      <c r="B508" s="59" t="s">
        <v>453</v>
      </c>
      <c r="C508" s="99"/>
      <c r="D508" s="100" t="s">
        <v>183</v>
      </c>
      <c r="E508" s="101" t="s">
        <v>51</v>
      </c>
      <c r="F508" s="102">
        <v>0</v>
      </c>
      <c r="G508" s="103"/>
      <c r="H508" s="112" t="s">
        <v>478</v>
      </c>
      <c r="I508" s="110" t="s">
        <v>453</v>
      </c>
      <c r="J508" s="106" t="s">
        <v>509</v>
      </c>
      <c r="K508" s="132"/>
      <c r="L508" s="132"/>
    </row>
    <row r="509" spans="2:12" hidden="1" x14ac:dyDescent="0.3">
      <c r="C509" s="16"/>
      <c r="D509" s="17"/>
      <c r="E509" s="42"/>
      <c r="F509" s="18">
        <v>0</v>
      </c>
      <c r="G509" s="69"/>
      <c r="H509" s="83"/>
      <c r="I509" s="84"/>
      <c r="J509" s="89" t="s">
        <v>682</v>
      </c>
      <c r="K509" s="133"/>
      <c r="L509" s="133"/>
    </row>
    <row r="510" spans="2:12" hidden="1" x14ac:dyDescent="0.3">
      <c r="C510" s="16"/>
      <c r="D510" s="17"/>
      <c r="E510" s="42"/>
      <c r="F510" s="18">
        <v>0</v>
      </c>
      <c r="G510" s="69"/>
      <c r="H510" s="70"/>
      <c r="I510" s="71"/>
      <c r="J510" s="89"/>
      <c r="K510" s="126"/>
      <c r="L510" s="126"/>
    </row>
    <row r="511" spans="2:12" hidden="1" x14ac:dyDescent="0.3">
      <c r="B511" s="59" t="s">
        <v>454</v>
      </c>
      <c r="C511" s="113"/>
      <c r="D511" s="114" t="s">
        <v>184</v>
      </c>
      <c r="E511" s="115" t="s">
        <v>51</v>
      </c>
      <c r="F511" s="116">
        <v>0</v>
      </c>
      <c r="G511" s="117"/>
      <c r="H511" s="118" t="s">
        <v>478</v>
      </c>
      <c r="I511" s="119" t="s">
        <v>454</v>
      </c>
      <c r="J511" s="120" t="s">
        <v>510</v>
      </c>
      <c r="K511" s="134"/>
      <c r="L511" s="134"/>
    </row>
    <row r="512" spans="2:12" hidden="1" x14ac:dyDescent="0.3">
      <c r="C512" s="16"/>
      <c r="D512" s="17"/>
      <c r="E512" s="42"/>
      <c r="F512" s="18">
        <v>0</v>
      </c>
      <c r="G512" s="69"/>
      <c r="H512" s="83"/>
      <c r="I512" s="84"/>
      <c r="J512" s="89" t="s">
        <v>481</v>
      </c>
      <c r="K512" s="133"/>
      <c r="L512" s="133"/>
    </row>
    <row r="513" spans="2:12" hidden="1" x14ac:dyDescent="0.3">
      <c r="C513" s="16"/>
      <c r="D513" s="17"/>
      <c r="E513" s="42"/>
      <c r="F513" s="18">
        <v>0</v>
      </c>
      <c r="G513" s="69"/>
      <c r="H513" s="70"/>
      <c r="I513" s="71"/>
      <c r="J513" s="89"/>
      <c r="K513" s="126"/>
      <c r="L513" s="126"/>
    </row>
    <row r="514" spans="2:12" hidden="1" x14ac:dyDescent="0.3">
      <c r="C514" s="113"/>
      <c r="D514" s="114" t="s">
        <v>185</v>
      </c>
      <c r="E514" s="115" t="s">
        <v>51</v>
      </c>
      <c r="F514" s="116">
        <v>0</v>
      </c>
      <c r="G514" s="117"/>
      <c r="H514" s="118" t="s">
        <v>478</v>
      </c>
      <c r="I514" s="119" t="s">
        <v>455</v>
      </c>
      <c r="J514" s="120" t="s">
        <v>511</v>
      </c>
      <c r="K514" s="134"/>
      <c r="L514" s="134"/>
    </row>
    <row r="515" spans="2:12" hidden="1" x14ac:dyDescent="0.3">
      <c r="C515" s="16"/>
      <c r="D515" s="17"/>
      <c r="E515" s="42"/>
      <c r="F515" s="18">
        <v>0</v>
      </c>
      <c r="G515" s="69"/>
      <c r="H515" s="83"/>
      <c r="I515" s="84"/>
      <c r="J515" s="89" t="s">
        <v>479</v>
      </c>
      <c r="K515" s="133"/>
      <c r="L515" s="133"/>
    </row>
    <row r="516" spans="2:12" hidden="1" x14ac:dyDescent="0.3">
      <c r="C516" s="16"/>
      <c r="D516" s="17"/>
      <c r="E516" s="42"/>
      <c r="F516" s="18">
        <v>0</v>
      </c>
      <c r="G516" s="69"/>
      <c r="H516" s="70"/>
      <c r="I516" s="71"/>
      <c r="J516" s="89"/>
      <c r="K516" s="126"/>
      <c r="L516" s="126"/>
    </row>
    <row r="517" spans="2:12" hidden="1" x14ac:dyDescent="0.3">
      <c r="B517" s="59" t="s">
        <v>456</v>
      </c>
      <c r="C517" s="113"/>
      <c r="D517" s="114" t="s">
        <v>186</v>
      </c>
      <c r="E517" s="115" t="s">
        <v>51</v>
      </c>
      <c r="F517" s="116">
        <v>0</v>
      </c>
      <c r="G517" s="117"/>
      <c r="H517" s="118" t="s">
        <v>478</v>
      </c>
      <c r="I517" s="119" t="s">
        <v>456</v>
      </c>
      <c r="J517" s="120" t="s">
        <v>512</v>
      </c>
      <c r="K517" s="134"/>
      <c r="L517" s="134"/>
    </row>
    <row r="518" spans="2:12" hidden="1" x14ac:dyDescent="0.3">
      <c r="C518" s="16"/>
      <c r="D518" s="17"/>
      <c r="E518" s="42"/>
      <c r="F518" s="18">
        <v>0</v>
      </c>
      <c r="G518" s="69"/>
      <c r="H518" s="83"/>
      <c r="I518" s="84"/>
      <c r="J518" s="89" t="s">
        <v>479</v>
      </c>
      <c r="K518" s="133"/>
      <c r="L518" s="133"/>
    </row>
    <row r="519" spans="2:12" hidden="1" x14ac:dyDescent="0.3">
      <c r="C519" s="16"/>
      <c r="D519" s="17"/>
      <c r="E519" s="42"/>
      <c r="F519" s="18">
        <v>0</v>
      </c>
      <c r="G519" s="69"/>
      <c r="H519" s="70"/>
      <c r="I519" s="71"/>
      <c r="J519" s="89"/>
      <c r="K519" s="126"/>
      <c r="L519" s="126"/>
    </row>
    <row r="520" spans="2:12" hidden="1" x14ac:dyDescent="0.3">
      <c r="B520" s="59" t="s">
        <v>457</v>
      </c>
      <c r="C520" s="113"/>
      <c r="D520" s="114" t="s">
        <v>187</v>
      </c>
      <c r="E520" s="115" t="s">
        <v>51</v>
      </c>
      <c r="F520" s="116">
        <v>0</v>
      </c>
      <c r="G520" s="117"/>
      <c r="H520" s="118" t="s">
        <v>478</v>
      </c>
      <c r="I520" s="119" t="s">
        <v>457</v>
      </c>
      <c r="J520" s="120" t="s">
        <v>513</v>
      </c>
      <c r="K520" s="134"/>
      <c r="L520" s="134"/>
    </row>
    <row r="521" spans="2:12" hidden="1" x14ac:dyDescent="0.3">
      <c r="C521" s="16"/>
      <c r="D521" s="17"/>
      <c r="E521" s="42"/>
      <c r="F521" s="18">
        <v>0</v>
      </c>
      <c r="G521" s="69"/>
      <c r="H521" s="83"/>
      <c r="I521" s="84"/>
      <c r="J521" s="89" t="s">
        <v>482</v>
      </c>
      <c r="K521" s="133"/>
      <c r="L521" s="133"/>
    </row>
    <row r="522" spans="2:12" hidden="1" x14ac:dyDescent="0.3">
      <c r="C522" s="16"/>
      <c r="D522" s="17"/>
      <c r="E522" s="42"/>
      <c r="F522" s="18">
        <v>0</v>
      </c>
      <c r="G522" s="69"/>
      <c r="H522" s="70"/>
      <c r="I522" s="71"/>
      <c r="J522" s="89"/>
      <c r="K522" s="126"/>
      <c r="L522" s="126"/>
    </row>
    <row r="523" spans="2:12" hidden="1" x14ac:dyDescent="0.3">
      <c r="B523" s="59" t="s">
        <v>450</v>
      </c>
      <c r="C523" s="16"/>
      <c r="D523" s="17" t="s">
        <v>188</v>
      </c>
      <c r="E523" s="42" t="s">
        <v>51</v>
      </c>
      <c r="F523" s="18">
        <v>0</v>
      </c>
      <c r="G523" s="69"/>
      <c r="H523" s="83"/>
      <c r="I523" s="84" t="s">
        <v>450</v>
      </c>
      <c r="J523" s="85" t="s">
        <v>514</v>
      </c>
      <c r="K523" s="133"/>
      <c r="L523" s="133"/>
    </row>
    <row r="524" spans="2:12" hidden="1" x14ac:dyDescent="0.3">
      <c r="C524" s="16"/>
      <c r="D524" s="17"/>
      <c r="E524" s="42"/>
      <c r="F524" s="18">
        <v>0</v>
      </c>
      <c r="G524" s="69"/>
      <c r="H524" s="83"/>
      <c r="I524" s="84"/>
      <c r="J524" s="89" t="s">
        <v>483</v>
      </c>
      <c r="K524" s="133"/>
      <c r="L524" s="133"/>
    </row>
    <row r="525" spans="2:12" hidden="1" x14ac:dyDescent="0.3">
      <c r="C525" s="16"/>
      <c r="D525" s="17"/>
      <c r="E525" s="42"/>
      <c r="F525" s="18">
        <v>0</v>
      </c>
      <c r="G525" s="69"/>
      <c r="H525" s="70"/>
      <c r="I525" s="71"/>
      <c r="J525" s="89"/>
      <c r="K525" s="126"/>
      <c r="L525" s="126"/>
    </row>
    <row r="526" spans="2:12" hidden="1" x14ac:dyDescent="0.3">
      <c r="C526" s="16"/>
      <c r="D526" s="17" t="s">
        <v>189</v>
      </c>
      <c r="E526" s="42" t="s">
        <v>51</v>
      </c>
      <c r="F526" s="18">
        <v>0</v>
      </c>
      <c r="G526" s="69"/>
      <c r="H526" s="83" t="s">
        <v>478</v>
      </c>
      <c r="I526" s="84" t="s">
        <v>458</v>
      </c>
      <c r="J526" s="85" t="s">
        <v>515</v>
      </c>
      <c r="K526" s="133"/>
      <c r="L526" s="133"/>
    </row>
    <row r="527" spans="2:12" hidden="1" x14ac:dyDescent="0.3">
      <c r="C527" s="16"/>
      <c r="D527" s="17"/>
      <c r="E527" s="42"/>
      <c r="F527" s="18">
        <v>0</v>
      </c>
      <c r="G527" s="69"/>
      <c r="H527" s="83"/>
      <c r="I527" s="84"/>
      <c r="J527" s="94" t="s">
        <v>484</v>
      </c>
      <c r="K527" s="133"/>
      <c r="L527" s="133"/>
    </row>
    <row r="528" spans="2:12" hidden="1" x14ac:dyDescent="0.3">
      <c r="C528" s="16"/>
      <c r="D528" s="17"/>
      <c r="E528" s="42"/>
      <c r="F528" s="18">
        <v>0</v>
      </c>
      <c r="G528" s="69"/>
      <c r="H528" s="70"/>
      <c r="I528" s="71"/>
      <c r="J528" s="94"/>
      <c r="K528" s="126"/>
      <c r="L528" s="126"/>
    </row>
    <row r="529" spans="3:12" hidden="1" x14ac:dyDescent="0.3">
      <c r="C529" s="16"/>
      <c r="D529" s="17" t="s">
        <v>190</v>
      </c>
      <c r="E529" s="42" t="s">
        <v>51</v>
      </c>
      <c r="F529" s="18">
        <v>0</v>
      </c>
      <c r="G529" s="69"/>
      <c r="H529" s="83" t="s">
        <v>478</v>
      </c>
      <c r="I529" s="84" t="s">
        <v>459</v>
      </c>
      <c r="J529" s="85" t="s">
        <v>516</v>
      </c>
      <c r="K529" s="133"/>
      <c r="L529" s="133"/>
    </row>
    <row r="530" spans="3:12" hidden="1" x14ac:dyDescent="0.3">
      <c r="C530" s="16"/>
      <c r="D530" s="17"/>
      <c r="E530" s="42"/>
      <c r="F530" s="18">
        <v>0</v>
      </c>
      <c r="G530" s="69"/>
      <c r="H530" s="83"/>
      <c r="I530" s="84"/>
      <c r="J530" s="94" t="s">
        <v>683</v>
      </c>
      <c r="K530" s="133"/>
      <c r="L530" s="133"/>
    </row>
    <row r="531" spans="3:12" hidden="1" x14ac:dyDescent="0.3">
      <c r="C531" s="16"/>
      <c r="D531" s="17"/>
      <c r="E531" s="42"/>
      <c r="F531" s="18">
        <v>0</v>
      </c>
      <c r="G531" s="69"/>
      <c r="H531" s="70"/>
      <c r="I531" s="71"/>
      <c r="J531" s="72"/>
      <c r="K531" s="126"/>
      <c r="L531" s="126"/>
    </row>
    <row r="532" spans="3:12" hidden="1" x14ac:dyDescent="0.3">
      <c r="C532" s="16"/>
      <c r="D532" s="17" t="s">
        <v>191</v>
      </c>
      <c r="E532" s="42" t="s">
        <v>51</v>
      </c>
      <c r="F532" s="18">
        <v>0</v>
      </c>
      <c r="G532" s="69"/>
      <c r="H532" s="83" t="s">
        <v>478</v>
      </c>
      <c r="I532" s="84" t="s">
        <v>460</v>
      </c>
      <c r="J532" s="85" t="s">
        <v>517</v>
      </c>
      <c r="K532" s="133"/>
      <c r="L532" s="133"/>
    </row>
    <row r="533" spans="3:12" hidden="1" x14ac:dyDescent="0.3">
      <c r="C533" s="16"/>
      <c r="D533" s="17"/>
      <c r="E533" s="42"/>
      <c r="F533" s="18">
        <v>0</v>
      </c>
      <c r="G533" s="69"/>
      <c r="H533" s="83"/>
      <c r="I533" s="84"/>
      <c r="J533" s="81"/>
      <c r="K533" s="133"/>
      <c r="L533" s="133"/>
    </row>
    <row r="534" spans="3:12" hidden="1" x14ac:dyDescent="0.3">
      <c r="C534" s="16"/>
      <c r="D534" s="17"/>
      <c r="E534" s="42"/>
      <c r="F534" s="18">
        <v>0</v>
      </c>
      <c r="G534" s="69"/>
      <c r="H534" s="70"/>
      <c r="I534" s="71"/>
      <c r="J534" s="72"/>
      <c r="K534" s="126"/>
      <c r="L534" s="126"/>
    </row>
    <row r="535" spans="3:12" hidden="1" x14ac:dyDescent="0.3">
      <c r="C535" s="16"/>
      <c r="D535" s="17" t="s">
        <v>192</v>
      </c>
      <c r="E535" s="42" t="s">
        <v>51</v>
      </c>
      <c r="F535" s="18">
        <v>0</v>
      </c>
      <c r="G535" s="69"/>
      <c r="H535" s="83" t="s">
        <v>478</v>
      </c>
      <c r="I535" s="84" t="s">
        <v>461</v>
      </c>
      <c r="J535" s="85" t="s">
        <v>518</v>
      </c>
      <c r="K535" s="133"/>
      <c r="L535" s="133"/>
    </row>
    <row r="536" spans="3:12" hidden="1" x14ac:dyDescent="0.3">
      <c r="C536" s="16"/>
      <c r="D536" s="17"/>
      <c r="E536" s="42"/>
      <c r="F536" s="18">
        <v>0</v>
      </c>
      <c r="G536" s="69"/>
      <c r="H536" s="83"/>
      <c r="I536" s="84"/>
      <c r="J536" s="81"/>
      <c r="K536" s="133"/>
      <c r="L536" s="133"/>
    </row>
    <row r="537" spans="3:12" hidden="1" x14ac:dyDescent="0.3">
      <c r="C537" s="16"/>
      <c r="D537" s="17"/>
      <c r="E537" s="42"/>
      <c r="F537" s="18">
        <v>0</v>
      </c>
      <c r="G537" s="69"/>
      <c r="H537" s="70"/>
      <c r="I537" s="71"/>
      <c r="J537" s="72"/>
      <c r="K537" s="126"/>
      <c r="L537" s="126"/>
    </row>
    <row r="538" spans="3:12" hidden="1" x14ac:dyDescent="0.3">
      <c r="C538" s="13"/>
      <c r="D538" s="14" t="s">
        <v>193</v>
      </c>
      <c r="E538" s="41"/>
      <c r="F538" s="15">
        <v>0</v>
      </c>
      <c r="G538" s="69"/>
      <c r="H538" s="70"/>
      <c r="I538" s="71"/>
      <c r="J538" s="72"/>
      <c r="K538" s="126"/>
      <c r="L538" s="126"/>
    </row>
    <row r="539" spans="3:12" hidden="1" x14ac:dyDescent="0.3">
      <c r="C539" s="16"/>
      <c r="D539" s="17"/>
      <c r="E539" s="42"/>
      <c r="F539" s="18">
        <v>0</v>
      </c>
      <c r="G539" s="69"/>
      <c r="H539" s="70"/>
      <c r="I539" s="71"/>
      <c r="J539" s="72"/>
      <c r="K539" s="126"/>
      <c r="L539" s="126"/>
    </row>
    <row r="540" spans="3:12" hidden="1" x14ac:dyDescent="0.3">
      <c r="C540" s="16"/>
      <c r="D540" s="17" t="s">
        <v>462</v>
      </c>
      <c r="E540" s="42" t="s">
        <v>51</v>
      </c>
      <c r="F540" s="18">
        <v>0</v>
      </c>
      <c r="G540" s="69"/>
      <c r="H540" s="83" t="s">
        <v>478</v>
      </c>
      <c r="I540" s="84" t="s">
        <v>466</v>
      </c>
      <c r="J540" s="85" t="s">
        <v>519</v>
      </c>
      <c r="K540" s="133"/>
      <c r="L540" s="133"/>
    </row>
    <row r="541" spans="3:12" hidden="1" x14ac:dyDescent="0.3">
      <c r="C541" s="16"/>
      <c r="D541" s="17"/>
      <c r="E541" s="42"/>
      <c r="F541" s="18">
        <v>0</v>
      </c>
      <c r="G541" s="69"/>
      <c r="H541" s="70"/>
      <c r="I541" s="71"/>
      <c r="J541" s="72"/>
      <c r="K541" s="126"/>
      <c r="L541" s="126"/>
    </row>
    <row r="542" spans="3:12" hidden="1" x14ac:dyDescent="0.3">
      <c r="C542" s="16"/>
      <c r="D542" s="17" t="s">
        <v>463</v>
      </c>
      <c r="E542" s="42" t="s">
        <v>51</v>
      </c>
      <c r="F542" s="18">
        <v>0</v>
      </c>
      <c r="G542" s="69"/>
      <c r="H542" s="83" t="s">
        <v>478</v>
      </c>
      <c r="I542" s="84" t="s">
        <v>467</v>
      </c>
      <c r="J542" s="85" t="s">
        <v>521</v>
      </c>
      <c r="K542" s="133"/>
      <c r="L542" s="133"/>
    </row>
    <row r="543" spans="3:12" hidden="1" x14ac:dyDescent="0.3">
      <c r="C543" s="16"/>
      <c r="D543" s="17"/>
      <c r="E543" s="42"/>
      <c r="F543" s="18">
        <v>0</v>
      </c>
      <c r="G543" s="69"/>
      <c r="H543" s="70"/>
      <c r="I543" s="71"/>
      <c r="J543" s="72"/>
      <c r="K543" s="126"/>
      <c r="L543" s="126"/>
    </row>
    <row r="544" spans="3:12" hidden="1" x14ac:dyDescent="0.3">
      <c r="C544" s="16"/>
      <c r="D544" s="17" t="s">
        <v>464</v>
      </c>
      <c r="E544" s="42" t="s">
        <v>51</v>
      </c>
      <c r="F544" s="18">
        <v>0</v>
      </c>
      <c r="G544" s="69"/>
      <c r="H544" s="83" t="s">
        <v>478</v>
      </c>
      <c r="I544" s="84" t="s">
        <v>468</v>
      </c>
      <c r="J544" s="85" t="s">
        <v>520</v>
      </c>
      <c r="K544" s="133"/>
      <c r="L544" s="133"/>
    </row>
    <row r="545" spans="3:12" hidden="1" x14ac:dyDescent="0.3">
      <c r="C545" s="16"/>
      <c r="D545" s="17"/>
      <c r="E545" s="42"/>
      <c r="F545" s="18">
        <v>0</v>
      </c>
      <c r="G545" s="69"/>
      <c r="H545" s="70"/>
      <c r="I545" s="71"/>
      <c r="J545" s="72"/>
      <c r="K545" s="126"/>
      <c r="L545" s="126"/>
    </row>
    <row r="546" spans="3:12" hidden="1" x14ac:dyDescent="0.3">
      <c r="C546" s="16"/>
      <c r="D546" s="17" t="s">
        <v>465</v>
      </c>
      <c r="E546" s="42" t="s">
        <v>51</v>
      </c>
      <c r="F546" s="18">
        <v>0</v>
      </c>
      <c r="G546" s="69"/>
      <c r="H546" s="83" t="s">
        <v>478</v>
      </c>
      <c r="I546" s="84" t="s">
        <v>469</v>
      </c>
      <c r="J546" s="85" t="s">
        <v>522</v>
      </c>
      <c r="K546" s="133"/>
      <c r="L546" s="133"/>
    </row>
    <row r="547" spans="3:12" hidden="1" x14ac:dyDescent="0.3">
      <c r="C547" s="16"/>
      <c r="D547" s="17"/>
      <c r="E547" s="42"/>
      <c r="F547" s="18">
        <v>0</v>
      </c>
      <c r="G547" s="69"/>
      <c r="H547" s="70"/>
      <c r="I547" s="71"/>
      <c r="J547" s="72"/>
      <c r="K547" s="126"/>
      <c r="L547" s="126"/>
    </row>
    <row r="548" spans="3:12" hidden="1" x14ac:dyDescent="0.3">
      <c r="C548" s="16"/>
      <c r="D548" s="17" t="s">
        <v>470</v>
      </c>
      <c r="E548" s="42" t="s">
        <v>51</v>
      </c>
      <c r="F548" s="18">
        <v>0</v>
      </c>
      <c r="G548" s="69"/>
      <c r="H548" s="83" t="s">
        <v>478</v>
      </c>
      <c r="I548" s="84" t="s">
        <v>474</v>
      </c>
      <c r="J548" s="85" t="s">
        <v>523</v>
      </c>
      <c r="K548" s="133"/>
      <c r="L548" s="133"/>
    </row>
    <row r="549" spans="3:12" hidden="1" x14ac:dyDescent="0.3">
      <c r="C549" s="16"/>
      <c r="D549" s="17"/>
      <c r="E549" s="42"/>
      <c r="F549" s="18">
        <v>0</v>
      </c>
      <c r="G549" s="69"/>
      <c r="H549" s="70"/>
      <c r="I549" s="71"/>
      <c r="J549" s="72"/>
      <c r="K549" s="126"/>
      <c r="L549" s="126"/>
    </row>
    <row r="550" spans="3:12" hidden="1" x14ac:dyDescent="0.3">
      <c r="C550" s="16"/>
      <c r="D550" s="17" t="s">
        <v>471</v>
      </c>
      <c r="E550" s="42" t="s">
        <v>51</v>
      </c>
      <c r="F550" s="18">
        <v>0</v>
      </c>
      <c r="G550" s="69"/>
      <c r="H550" s="83" t="s">
        <v>478</v>
      </c>
      <c r="I550" s="84" t="s">
        <v>475</v>
      </c>
      <c r="J550" s="85" t="s">
        <v>524</v>
      </c>
      <c r="K550" s="133"/>
      <c r="L550" s="133"/>
    </row>
    <row r="551" spans="3:12" hidden="1" x14ac:dyDescent="0.3">
      <c r="C551" s="16"/>
      <c r="D551" s="17"/>
      <c r="E551" s="42"/>
      <c r="F551" s="18">
        <v>0</v>
      </c>
      <c r="G551" s="69"/>
      <c r="H551" s="70"/>
      <c r="I551" s="71"/>
      <c r="J551" s="72"/>
      <c r="K551" s="126"/>
      <c r="L551" s="126"/>
    </row>
    <row r="552" spans="3:12" hidden="1" x14ac:dyDescent="0.3">
      <c r="C552" s="16"/>
      <c r="D552" s="17" t="s">
        <v>472</v>
      </c>
      <c r="E552" s="42" t="s">
        <v>51</v>
      </c>
      <c r="F552" s="18">
        <v>0</v>
      </c>
      <c r="G552" s="69"/>
      <c r="H552" s="83" t="s">
        <v>478</v>
      </c>
      <c r="I552" s="84" t="s">
        <v>476</v>
      </c>
      <c r="J552" s="85" t="s">
        <v>525</v>
      </c>
      <c r="K552" s="133"/>
      <c r="L552" s="133"/>
    </row>
    <row r="553" spans="3:12" hidden="1" x14ac:dyDescent="0.3">
      <c r="C553" s="16"/>
      <c r="D553" s="17"/>
      <c r="E553" s="42"/>
      <c r="F553" s="18">
        <v>0</v>
      </c>
      <c r="G553" s="69"/>
      <c r="H553" s="70"/>
      <c r="I553" s="71"/>
      <c r="J553" s="72"/>
      <c r="K553" s="126"/>
      <c r="L553" s="126"/>
    </row>
    <row r="554" spans="3:12" hidden="1" x14ac:dyDescent="0.3">
      <c r="C554" s="16"/>
      <c r="D554" s="17" t="s">
        <v>473</v>
      </c>
      <c r="E554" s="42" t="s">
        <v>51</v>
      </c>
      <c r="F554" s="18">
        <v>0</v>
      </c>
      <c r="G554" s="69"/>
      <c r="H554" s="83" t="s">
        <v>478</v>
      </c>
      <c r="I554" s="84" t="s">
        <v>477</v>
      </c>
      <c r="J554" s="85" t="s">
        <v>526</v>
      </c>
      <c r="K554" s="133"/>
      <c r="L554" s="133"/>
    </row>
    <row r="555" spans="3:12" hidden="1" x14ac:dyDescent="0.3">
      <c r="C555" s="16"/>
      <c r="D555" s="17"/>
      <c r="E555" s="42"/>
      <c r="F555" s="18">
        <v>0</v>
      </c>
      <c r="G555" s="69"/>
      <c r="H555" s="70"/>
      <c r="I555" s="71"/>
      <c r="J555" s="72"/>
      <c r="K555" s="126"/>
      <c r="L555" s="126"/>
    </row>
    <row r="556" spans="3:12" hidden="1" x14ac:dyDescent="0.3">
      <c r="C556" s="19"/>
      <c r="D556" s="20"/>
      <c r="E556" s="43"/>
      <c r="F556" s="21">
        <v>0</v>
      </c>
      <c r="G556" s="73"/>
      <c r="H556" s="74"/>
      <c r="I556" s="75"/>
      <c r="J556" s="76"/>
      <c r="K556" s="127"/>
      <c r="L556" s="127"/>
    </row>
    <row r="557" spans="3:12" hidden="1" x14ac:dyDescent="0.3">
      <c r="C557" s="22"/>
      <c r="D557" s="23"/>
      <c r="E557" s="45"/>
      <c r="F557" s="24">
        <v>0</v>
      </c>
      <c r="G557" s="77"/>
      <c r="H557" s="78"/>
      <c r="I557" s="79"/>
      <c r="J557" s="80"/>
      <c r="K557" s="128"/>
      <c r="L557" s="128"/>
    </row>
    <row r="558" spans="3:12" hidden="1" x14ac:dyDescent="0.3">
      <c r="C558" s="13"/>
      <c r="D558" s="14" t="s">
        <v>194</v>
      </c>
      <c r="E558" s="41"/>
      <c r="F558" s="15">
        <v>0</v>
      </c>
      <c r="G558" s="69"/>
      <c r="H558" s="70"/>
      <c r="I558" s="71"/>
      <c r="J558" s="72"/>
      <c r="K558" s="126"/>
      <c r="L558" s="126"/>
    </row>
    <row r="559" spans="3:12" hidden="1" x14ac:dyDescent="0.3">
      <c r="C559" s="13"/>
      <c r="D559" s="14"/>
      <c r="E559" s="41"/>
      <c r="F559" s="15">
        <v>0</v>
      </c>
      <c r="G559" s="69"/>
      <c r="H559" s="70"/>
      <c r="I559" s="71"/>
      <c r="J559" s="72"/>
      <c r="K559" s="126"/>
      <c r="L559" s="126"/>
    </row>
    <row r="560" spans="3:12" hidden="1" x14ac:dyDescent="0.3">
      <c r="C560" s="13"/>
      <c r="D560" s="28" t="s">
        <v>684</v>
      </c>
      <c r="E560" s="41"/>
      <c r="F560" s="15">
        <v>0</v>
      </c>
      <c r="G560" s="69"/>
      <c r="H560" s="70"/>
      <c r="I560" s="71"/>
      <c r="J560" s="72"/>
      <c r="K560" s="126"/>
      <c r="L560" s="126"/>
    </row>
    <row r="561" spans="3:12" hidden="1" x14ac:dyDescent="0.3">
      <c r="C561" s="16"/>
      <c r="D561" s="17"/>
      <c r="E561" s="42"/>
      <c r="F561" s="18">
        <v>0</v>
      </c>
      <c r="G561" s="69"/>
      <c r="H561" s="70"/>
      <c r="I561" s="71"/>
      <c r="J561" s="72"/>
      <c r="K561" s="126"/>
      <c r="L561" s="126"/>
    </row>
    <row r="562" spans="3:12" hidden="1" x14ac:dyDescent="0.3">
      <c r="C562" s="29"/>
      <c r="D562" s="25" t="s">
        <v>195</v>
      </c>
      <c r="E562" s="42" t="s">
        <v>51</v>
      </c>
      <c r="F562" s="18">
        <v>0</v>
      </c>
      <c r="G562" s="69"/>
      <c r="H562" s="70" t="s">
        <v>318</v>
      </c>
      <c r="I562" s="84" t="s">
        <v>527</v>
      </c>
      <c r="J562" s="85" t="s">
        <v>530</v>
      </c>
      <c r="K562" s="133"/>
      <c r="L562" s="133"/>
    </row>
    <row r="563" spans="3:12" hidden="1" x14ac:dyDescent="0.3">
      <c r="C563" s="16"/>
      <c r="D563" s="17"/>
      <c r="E563" s="42"/>
      <c r="F563" s="18">
        <v>0</v>
      </c>
      <c r="G563" s="69"/>
      <c r="H563" s="70"/>
      <c r="I563" s="71"/>
      <c r="J563" s="72"/>
      <c r="K563" s="126"/>
      <c r="L563" s="126"/>
    </row>
    <row r="564" spans="3:12" hidden="1" x14ac:dyDescent="0.3">
      <c r="C564" s="29"/>
      <c r="D564" s="25" t="s">
        <v>529</v>
      </c>
      <c r="E564" s="42" t="s">
        <v>51</v>
      </c>
      <c r="F564" s="18">
        <v>0</v>
      </c>
      <c r="G564" s="69"/>
      <c r="H564" s="70" t="s">
        <v>318</v>
      </c>
      <c r="I564" s="84" t="s">
        <v>528</v>
      </c>
      <c r="J564" s="85" t="s">
        <v>531</v>
      </c>
      <c r="K564" s="133"/>
      <c r="L564" s="133"/>
    </row>
    <row r="565" spans="3:12" hidden="1" x14ac:dyDescent="0.3">
      <c r="C565" s="29"/>
      <c r="D565" s="17"/>
      <c r="E565" s="42"/>
      <c r="F565" s="18">
        <v>0</v>
      </c>
      <c r="G565" s="69"/>
      <c r="H565" s="70"/>
      <c r="I565" s="71"/>
      <c r="J565" s="72"/>
      <c r="K565" s="126"/>
      <c r="L565" s="126"/>
    </row>
    <row r="566" spans="3:12" hidden="1" x14ac:dyDescent="0.3">
      <c r="C566" s="29"/>
      <c r="D566" s="25" t="s">
        <v>196</v>
      </c>
      <c r="E566" s="42" t="s">
        <v>51</v>
      </c>
      <c r="F566" s="18">
        <v>0</v>
      </c>
      <c r="G566" s="69"/>
      <c r="H566" s="70" t="s">
        <v>318</v>
      </c>
      <c r="I566" s="84" t="s">
        <v>533</v>
      </c>
      <c r="J566" s="85" t="s">
        <v>536</v>
      </c>
      <c r="K566" s="133"/>
      <c r="L566" s="133"/>
    </row>
    <row r="567" spans="3:12" hidden="1" x14ac:dyDescent="0.3">
      <c r="C567" s="29"/>
      <c r="D567" s="17"/>
      <c r="E567" s="42"/>
      <c r="F567" s="18">
        <v>0</v>
      </c>
      <c r="G567" s="69"/>
      <c r="H567" s="70"/>
      <c r="I567" s="71"/>
      <c r="J567" s="72"/>
      <c r="K567" s="126"/>
      <c r="L567" s="126"/>
    </row>
    <row r="568" spans="3:12" hidden="1" x14ac:dyDescent="0.3">
      <c r="C568" s="29"/>
      <c r="D568" s="25" t="s">
        <v>532</v>
      </c>
      <c r="E568" s="42" t="s">
        <v>51</v>
      </c>
      <c r="F568" s="18">
        <v>0</v>
      </c>
      <c r="G568" s="69"/>
      <c r="H568" s="70" t="s">
        <v>318</v>
      </c>
      <c r="I568" s="84" t="s">
        <v>534</v>
      </c>
      <c r="J568" s="85" t="s">
        <v>535</v>
      </c>
      <c r="K568" s="133"/>
      <c r="L568" s="133"/>
    </row>
    <row r="569" spans="3:12" hidden="1" x14ac:dyDescent="0.3">
      <c r="C569" s="29"/>
      <c r="D569" s="17"/>
      <c r="E569" s="42"/>
      <c r="F569" s="18">
        <v>0</v>
      </c>
      <c r="G569" s="69"/>
      <c r="H569" s="70"/>
      <c r="I569" s="71"/>
      <c r="J569" s="72"/>
      <c r="K569" s="126"/>
      <c r="L569" s="126"/>
    </row>
    <row r="570" spans="3:12" hidden="1" x14ac:dyDescent="0.3">
      <c r="C570" s="29"/>
      <c r="D570" s="25" t="s">
        <v>197</v>
      </c>
      <c r="E570" s="42" t="s">
        <v>51</v>
      </c>
      <c r="F570" s="18">
        <v>0</v>
      </c>
      <c r="G570" s="69"/>
      <c r="H570" s="70"/>
      <c r="I570" s="84" t="s">
        <v>537</v>
      </c>
      <c r="J570" s="85" t="s">
        <v>538</v>
      </c>
      <c r="K570" s="133"/>
      <c r="L570" s="133"/>
    </row>
    <row r="571" spans="3:12" hidden="1" x14ac:dyDescent="0.3">
      <c r="C571" s="29"/>
      <c r="D571" s="17"/>
      <c r="E571" s="42"/>
      <c r="F571" s="18">
        <v>0</v>
      </c>
      <c r="G571" s="69"/>
      <c r="H571" s="70"/>
      <c r="I571" s="71"/>
      <c r="J571" s="72"/>
      <c r="K571" s="126"/>
      <c r="L571" s="126"/>
    </row>
    <row r="572" spans="3:12" hidden="1" x14ac:dyDescent="0.3">
      <c r="C572" s="29"/>
      <c r="D572" s="25" t="s">
        <v>198</v>
      </c>
      <c r="E572" s="42" t="s">
        <v>51</v>
      </c>
      <c r="F572" s="18">
        <v>0</v>
      </c>
      <c r="G572" s="69"/>
      <c r="H572" s="70" t="s">
        <v>318</v>
      </c>
      <c r="I572" s="84" t="s">
        <v>545</v>
      </c>
      <c r="J572" s="85" t="s">
        <v>548</v>
      </c>
      <c r="K572" s="133"/>
      <c r="L572" s="133"/>
    </row>
    <row r="573" spans="3:12" hidden="1" x14ac:dyDescent="0.3">
      <c r="C573" s="29"/>
      <c r="D573" s="17"/>
      <c r="E573" s="42"/>
      <c r="F573" s="18">
        <v>0</v>
      </c>
      <c r="G573" s="69"/>
      <c r="H573" s="70"/>
      <c r="I573" s="71"/>
      <c r="J573" s="72"/>
      <c r="K573" s="126"/>
      <c r="L573" s="126"/>
    </row>
    <row r="574" spans="3:12" hidden="1" x14ac:dyDescent="0.3">
      <c r="C574" s="29"/>
      <c r="D574" s="25" t="s">
        <v>199</v>
      </c>
      <c r="E574" s="42" t="s">
        <v>51</v>
      </c>
      <c r="F574" s="18">
        <v>0</v>
      </c>
      <c r="G574" s="69"/>
      <c r="H574" s="70"/>
      <c r="I574" s="84" t="s">
        <v>546</v>
      </c>
      <c r="J574" s="85" t="s">
        <v>547</v>
      </c>
      <c r="K574" s="133"/>
      <c r="L574" s="133"/>
    </row>
    <row r="575" spans="3:12" hidden="1" x14ac:dyDescent="0.3">
      <c r="C575" s="13"/>
      <c r="D575" s="14"/>
      <c r="E575" s="41"/>
      <c r="F575" s="15">
        <v>0</v>
      </c>
      <c r="G575" s="69"/>
      <c r="H575" s="70"/>
      <c r="I575" s="71"/>
      <c r="J575" s="72"/>
      <c r="K575" s="126"/>
      <c r="L575" s="126"/>
    </row>
    <row r="576" spans="3:12" hidden="1" x14ac:dyDescent="0.3">
      <c r="C576" s="13"/>
      <c r="D576" s="28" t="s">
        <v>685</v>
      </c>
      <c r="E576" s="41"/>
      <c r="F576" s="15">
        <v>0</v>
      </c>
      <c r="G576" s="69"/>
      <c r="H576" s="70"/>
      <c r="I576" s="71"/>
      <c r="J576" s="72"/>
      <c r="K576" s="126"/>
      <c r="L576" s="126"/>
    </row>
    <row r="577" spans="3:12" hidden="1" x14ac:dyDescent="0.3">
      <c r="C577" s="29"/>
      <c r="D577" s="17"/>
      <c r="E577" s="42"/>
      <c r="F577" s="18">
        <v>0</v>
      </c>
      <c r="G577" s="69"/>
      <c r="H577" s="70"/>
      <c r="I577" s="71"/>
      <c r="J577" s="72"/>
      <c r="K577" s="126"/>
      <c r="L577" s="126"/>
    </row>
    <row r="578" spans="3:12" hidden="1" x14ac:dyDescent="0.3">
      <c r="C578" s="29"/>
      <c r="D578" s="17" t="s">
        <v>200</v>
      </c>
      <c r="E578" s="42" t="s">
        <v>51</v>
      </c>
      <c r="F578" s="18">
        <v>0</v>
      </c>
      <c r="G578" s="69"/>
      <c r="H578" s="70" t="s">
        <v>318</v>
      </c>
      <c r="I578" s="84" t="s">
        <v>540</v>
      </c>
      <c r="J578" s="85" t="s">
        <v>541</v>
      </c>
      <c r="K578" s="133"/>
      <c r="L578" s="133"/>
    </row>
    <row r="579" spans="3:12" hidden="1" x14ac:dyDescent="0.3">
      <c r="C579" s="29"/>
      <c r="D579" s="17"/>
      <c r="E579" s="42"/>
      <c r="F579" s="18">
        <v>0</v>
      </c>
      <c r="G579" s="69"/>
      <c r="H579" s="70"/>
      <c r="I579" s="71"/>
      <c r="J579" s="72"/>
      <c r="K579" s="126"/>
      <c r="L579" s="126"/>
    </row>
    <row r="580" spans="3:12" hidden="1" x14ac:dyDescent="0.3">
      <c r="C580" s="29"/>
      <c r="D580" s="17" t="s">
        <v>201</v>
      </c>
      <c r="E580" s="42" t="s">
        <v>51</v>
      </c>
      <c r="F580" s="18">
        <v>0</v>
      </c>
      <c r="G580" s="69"/>
      <c r="H580" s="70" t="s">
        <v>318</v>
      </c>
      <c r="I580" s="84" t="s">
        <v>539</v>
      </c>
      <c r="J580" s="85" t="s">
        <v>542</v>
      </c>
      <c r="K580" s="133"/>
      <c r="L580" s="133"/>
    </row>
    <row r="581" spans="3:12" hidden="1" x14ac:dyDescent="0.3">
      <c r="C581" s="29"/>
      <c r="D581" s="17"/>
      <c r="E581" s="42"/>
      <c r="F581" s="18">
        <v>0</v>
      </c>
      <c r="G581" s="69"/>
      <c r="H581" s="70"/>
      <c r="I581" s="71"/>
      <c r="J581" s="72"/>
      <c r="K581" s="126"/>
      <c r="L581" s="126"/>
    </row>
    <row r="582" spans="3:12" hidden="1" x14ac:dyDescent="0.3">
      <c r="C582" s="29"/>
      <c r="D582" s="17" t="s">
        <v>202</v>
      </c>
      <c r="E582" s="42" t="s">
        <v>51</v>
      </c>
      <c r="F582" s="18">
        <v>0</v>
      </c>
      <c r="G582" s="69"/>
      <c r="H582" s="70" t="s">
        <v>318</v>
      </c>
      <c r="I582" s="84" t="s">
        <v>543</v>
      </c>
      <c r="J582" s="85" t="s">
        <v>544</v>
      </c>
      <c r="K582" s="133"/>
      <c r="L582" s="133"/>
    </row>
    <row r="583" spans="3:12" hidden="1" x14ac:dyDescent="0.3">
      <c r="C583" s="29"/>
      <c r="D583" s="17"/>
      <c r="E583" s="42"/>
      <c r="F583" s="18">
        <v>0</v>
      </c>
      <c r="G583" s="69"/>
      <c r="H583" s="70"/>
      <c r="I583" s="71"/>
      <c r="J583" s="72"/>
      <c r="K583" s="126"/>
      <c r="L583" s="126"/>
    </row>
    <row r="584" spans="3:12" hidden="1" x14ac:dyDescent="0.3">
      <c r="C584" s="29"/>
      <c r="D584" s="17" t="s">
        <v>203</v>
      </c>
      <c r="E584" s="42" t="s">
        <v>51</v>
      </c>
      <c r="F584" s="18">
        <v>0</v>
      </c>
      <c r="G584" s="69"/>
      <c r="H584" s="70"/>
      <c r="I584" s="84" t="s">
        <v>549</v>
      </c>
      <c r="J584" s="85" t="s">
        <v>552</v>
      </c>
      <c r="K584" s="133"/>
      <c r="L584" s="133"/>
    </row>
    <row r="585" spans="3:12" hidden="1" x14ac:dyDescent="0.3">
      <c r="C585" s="29"/>
      <c r="D585" s="17"/>
      <c r="E585" s="42"/>
      <c r="F585" s="18">
        <v>0</v>
      </c>
      <c r="G585" s="69"/>
      <c r="H585" s="70"/>
      <c r="I585" s="71"/>
      <c r="J585" s="72"/>
      <c r="K585" s="126"/>
      <c r="L585" s="126"/>
    </row>
    <row r="586" spans="3:12" hidden="1" x14ac:dyDescent="0.3">
      <c r="C586" s="29"/>
      <c r="D586" s="17" t="s">
        <v>204</v>
      </c>
      <c r="E586" s="42" t="s">
        <v>51</v>
      </c>
      <c r="F586" s="18">
        <v>0</v>
      </c>
      <c r="G586" s="69"/>
      <c r="H586" s="70" t="s">
        <v>318</v>
      </c>
      <c r="I586" s="84" t="s">
        <v>550</v>
      </c>
      <c r="J586" s="85" t="s">
        <v>551</v>
      </c>
      <c r="K586" s="133"/>
      <c r="L586" s="133"/>
    </row>
    <row r="587" spans="3:12" hidden="1" x14ac:dyDescent="0.3">
      <c r="C587" s="29"/>
      <c r="D587" s="17"/>
      <c r="E587" s="42"/>
      <c r="F587" s="18">
        <v>0</v>
      </c>
      <c r="G587" s="69"/>
      <c r="H587" s="70"/>
      <c r="I587" s="71"/>
      <c r="J587" s="72"/>
      <c r="K587" s="126"/>
      <c r="L587" s="126"/>
    </row>
    <row r="588" spans="3:12" hidden="1" x14ac:dyDescent="0.3">
      <c r="C588" s="29"/>
      <c r="D588" s="17" t="s">
        <v>205</v>
      </c>
      <c r="E588" s="42" t="s">
        <v>51</v>
      </c>
      <c r="F588" s="18">
        <v>0</v>
      </c>
      <c r="G588" s="69"/>
      <c r="H588" s="70" t="s">
        <v>318</v>
      </c>
      <c r="I588" s="84" t="s">
        <v>553</v>
      </c>
      <c r="J588" s="85" t="s">
        <v>554</v>
      </c>
      <c r="K588" s="133"/>
      <c r="L588" s="133"/>
    </row>
    <row r="589" spans="3:12" hidden="1" x14ac:dyDescent="0.3">
      <c r="C589" s="29"/>
      <c r="D589" s="17"/>
      <c r="E589" s="42"/>
      <c r="F589" s="18">
        <v>0</v>
      </c>
      <c r="G589" s="69"/>
      <c r="H589" s="70"/>
      <c r="I589" s="71"/>
      <c r="J589" s="72"/>
      <c r="K589" s="126"/>
      <c r="L589" s="126"/>
    </row>
    <row r="590" spans="3:12" hidden="1" x14ac:dyDescent="0.3">
      <c r="C590" s="29"/>
      <c r="D590" s="17" t="s">
        <v>221</v>
      </c>
      <c r="E590" s="42" t="s">
        <v>51</v>
      </c>
      <c r="F590" s="18">
        <v>0</v>
      </c>
      <c r="G590" s="69"/>
      <c r="H590" s="70" t="s">
        <v>318</v>
      </c>
      <c r="I590" s="84" t="s">
        <v>555</v>
      </c>
      <c r="J590" s="85" t="s">
        <v>556</v>
      </c>
      <c r="K590" s="133"/>
      <c r="L590" s="133"/>
    </row>
    <row r="591" spans="3:12" hidden="1" x14ac:dyDescent="0.3">
      <c r="C591" s="29"/>
      <c r="D591" s="17"/>
      <c r="E591" s="42"/>
      <c r="F591" s="18">
        <v>0</v>
      </c>
      <c r="G591" s="69"/>
      <c r="H591" s="70"/>
      <c r="I591" s="71"/>
      <c r="J591" s="72"/>
      <c r="K591" s="126"/>
      <c r="L591" s="126"/>
    </row>
    <row r="592" spans="3:12" ht="30.05" hidden="1" x14ac:dyDescent="0.3">
      <c r="C592" s="29"/>
      <c r="D592" s="17" t="s">
        <v>222</v>
      </c>
      <c r="E592" s="42" t="s">
        <v>51</v>
      </c>
      <c r="F592" s="18">
        <v>0</v>
      </c>
      <c r="G592" s="69"/>
      <c r="H592" s="70" t="s">
        <v>318</v>
      </c>
      <c r="I592" s="84" t="s">
        <v>466</v>
      </c>
      <c r="J592" s="58" t="s">
        <v>557</v>
      </c>
      <c r="K592" s="133"/>
      <c r="L592" s="133"/>
    </row>
    <row r="593" spans="3:12" hidden="1" x14ac:dyDescent="0.3">
      <c r="C593" s="29"/>
      <c r="D593" s="17"/>
      <c r="E593" s="42"/>
      <c r="F593" s="18">
        <v>0</v>
      </c>
      <c r="G593" s="69"/>
      <c r="H593" s="70"/>
      <c r="I593" s="84" t="s">
        <v>467</v>
      </c>
      <c r="J593" s="72"/>
      <c r="K593" s="133"/>
      <c r="L593" s="133"/>
    </row>
    <row r="594" spans="3:12" hidden="1" x14ac:dyDescent="0.3">
      <c r="C594" s="29"/>
      <c r="D594" s="17"/>
      <c r="E594" s="42"/>
      <c r="F594" s="18">
        <v>0</v>
      </c>
      <c r="G594" s="69"/>
      <c r="H594" s="70"/>
      <c r="I594" s="84" t="s">
        <v>468</v>
      </c>
      <c r="J594" s="72"/>
      <c r="K594" s="133"/>
      <c r="L594" s="133"/>
    </row>
    <row r="595" spans="3:12" hidden="1" x14ac:dyDescent="0.3">
      <c r="C595" s="29"/>
      <c r="D595" s="17"/>
      <c r="E595" s="42"/>
      <c r="F595" s="18">
        <v>0</v>
      </c>
      <c r="G595" s="69"/>
      <c r="H595" s="70"/>
      <c r="I595" s="84" t="s">
        <v>469</v>
      </c>
      <c r="J595" s="72"/>
      <c r="K595" s="133"/>
      <c r="L595" s="133"/>
    </row>
    <row r="596" spans="3:12" hidden="1" x14ac:dyDescent="0.3">
      <c r="C596" s="29"/>
      <c r="D596" s="17"/>
      <c r="E596" s="42"/>
      <c r="F596" s="18">
        <v>0</v>
      </c>
      <c r="G596" s="69"/>
      <c r="H596" s="70"/>
      <c r="I596" s="84" t="s">
        <v>474</v>
      </c>
      <c r="J596" s="72"/>
      <c r="K596" s="133"/>
      <c r="L596" s="133"/>
    </row>
    <row r="597" spans="3:12" hidden="1" x14ac:dyDescent="0.3">
      <c r="C597" s="29"/>
      <c r="D597" s="17"/>
      <c r="E597" s="42"/>
      <c r="F597" s="18">
        <v>0</v>
      </c>
      <c r="G597" s="69"/>
      <c r="H597" s="70"/>
      <c r="I597" s="84" t="s">
        <v>475</v>
      </c>
      <c r="J597" s="72"/>
      <c r="K597" s="133"/>
      <c r="L597" s="133"/>
    </row>
    <row r="598" spans="3:12" hidden="1" x14ac:dyDescent="0.3">
      <c r="C598" s="29"/>
      <c r="D598" s="17"/>
      <c r="E598" s="42"/>
      <c r="F598" s="18">
        <v>0</v>
      </c>
      <c r="G598" s="69"/>
      <c r="H598" s="70"/>
      <c r="I598" s="84" t="s">
        <v>476</v>
      </c>
      <c r="J598" s="72"/>
      <c r="K598" s="133"/>
      <c r="L598" s="133"/>
    </row>
    <row r="599" spans="3:12" hidden="1" x14ac:dyDescent="0.3">
      <c r="C599" s="29"/>
      <c r="D599" s="17"/>
      <c r="E599" s="42"/>
      <c r="F599" s="18">
        <v>0</v>
      </c>
      <c r="G599" s="69"/>
      <c r="H599" s="70"/>
      <c r="I599" s="84" t="s">
        <v>477</v>
      </c>
      <c r="J599" s="72"/>
      <c r="K599" s="133"/>
      <c r="L599" s="133"/>
    </row>
    <row r="600" spans="3:12" hidden="1" x14ac:dyDescent="0.3">
      <c r="C600" s="29"/>
      <c r="D600" s="17"/>
      <c r="E600" s="42"/>
      <c r="F600" s="18">
        <v>0</v>
      </c>
      <c r="G600" s="69"/>
      <c r="H600" s="70"/>
      <c r="I600" s="71"/>
      <c r="J600" s="72"/>
      <c r="K600" s="126"/>
      <c r="L600" s="126"/>
    </row>
    <row r="601" spans="3:12" hidden="1" x14ac:dyDescent="0.3">
      <c r="C601" s="29"/>
      <c r="D601" s="17" t="s">
        <v>233</v>
      </c>
      <c r="E601" s="42" t="s">
        <v>51</v>
      </c>
      <c r="F601" s="18">
        <v>0</v>
      </c>
      <c r="G601" s="69"/>
      <c r="H601" s="70" t="s">
        <v>318</v>
      </c>
      <c r="I601" s="84" t="s">
        <v>558</v>
      </c>
      <c r="J601" s="85" t="s">
        <v>559</v>
      </c>
      <c r="K601" s="133"/>
      <c r="L601" s="133"/>
    </row>
    <row r="602" spans="3:12" hidden="1" x14ac:dyDescent="0.3">
      <c r="C602" s="13"/>
      <c r="D602" s="14"/>
      <c r="E602" s="41"/>
      <c r="F602" s="15">
        <v>0</v>
      </c>
      <c r="G602" s="69"/>
      <c r="H602" s="70"/>
      <c r="I602" s="71"/>
      <c r="J602" s="72"/>
      <c r="K602" s="126"/>
      <c r="L602" s="126"/>
    </row>
    <row r="603" spans="3:12" hidden="1" x14ac:dyDescent="0.3">
      <c r="C603" s="13"/>
      <c r="D603" s="28" t="s">
        <v>320</v>
      </c>
      <c r="E603" s="41"/>
      <c r="F603" s="15">
        <v>0</v>
      </c>
      <c r="G603" s="69"/>
      <c r="H603" s="70"/>
      <c r="I603" s="71"/>
      <c r="J603" s="72"/>
      <c r="K603" s="126"/>
      <c r="L603" s="126"/>
    </row>
    <row r="604" spans="3:12" hidden="1" x14ac:dyDescent="0.3">
      <c r="C604" s="29"/>
      <c r="D604" s="17"/>
      <c r="E604" s="42"/>
      <c r="F604" s="18">
        <v>0</v>
      </c>
      <c r="G604" s="69"/>
      <c r="H604" s="70"/>
      <c r="I604" s="71"/>
      <c r="J604" s="72"/>
      <c r="K604" s="126"/>
      <c r="L604" s="126"/>
    </row>
    <row r="605" spans="3:12" hidden="1" x14ac:dyDescent="0.3">
      <c r="C605" s="29"/>
      <c r="D605" s="17" t="s">
        <v>686</v>
      </c>
      <c r="E605" s="42" t="s">
        <v>51</v>
      </c>
      <c r="F605" s="18">
        <v>0</v>
      </c>
      <c r="G605" s="69"/>
      <c r="H605" s="70" t="s">
        <v>318</v>
      </c>
      <c r="I605" s="84" t="s">
        <v>560</v>
      </c>
      <c r="J605" s="85" t="s">
        <v>561</v>
      </c>
      <c r="K605" s="133"/>
      <c r="L605" s="133"/>
    </row>
    <row r="606" spans="3:12" hidden="1" x14ac:dyDescent="0.3">
      <c r="C606" s="29"/>
      <c r="D606" s="17"/>
      <c r="E606" s="42"/>
      <c r="F606" s="18">
        <v>0</v>
      </c>
      <c r="G606" s="69"/>
      <c r="H606" s="70"/>
      <c r="I606" s="71"/>
      <c r="J606" s="72"/>
      <c r="K606" s="126"/>
      <c r="L606" s="126"/>
    </row>
    <row r="607" spans="3:12" hidden="1" x14ac:dyDescent="0.3">
      <c r="C607" s="29"/>
      <c r="D607" s="17" t="s">
        <v>687</v>
      </c>
      <c r="E607" s="42" t="s">
        <v>51</v>
      </c>
      <c r="F607" s="18">
        <v>0</v>
      </c>
      <c r="G607" s="69"/>
      <c r="H607" s="70" t="s">
        <v>318</v>
      </c>
      <c r="I607" s="84" t="s">
        <v>562</v>
      </c>
      <c r="J607" s="85" t="s">
        <v>563</v>
      </c>
      <c r="K607" s="133"/>
      <c r="L607" s="133"/>
    </row>
    <row r="608" spans="3:12" hidden="1" x14ac:dyDescent="0.3">
      <c r="C608" s="29"/>
      <c r="D608" s="17"/>
      <c r="E608" s="42"/>
      <c r="F608" s="18">
        <v>0</v>
      </c>
      <c r="G608" s="69"/>
      <c r="H608" s="70"/>
      <c r="I608" s="71"/>
      <c r="J608" s="72"/>
      <c r="K608" s="126"/>
      <c r="L608" s="126"/>
    </row>
    <row r="609" spans="3:12" hidden="1" x14ac:dyDescent="0.3">
      <c r="C609" s="29"/>
      <c r="D609" s="17" t="s">
        <v>206</v>
      </c>
      <c r="E609" s="42" t="s">
        <v>51</v>
      </c>
      <c r="F609" s="18">
        <v>0</v>
      </c>
      <c r="G609" s="69"/>
      <c r="H609" s="70" t="s">
        <v>318</v>
      </c>
      <c r="I609" s="84" t="s">
        <v>564</v>
      </c>
      <c r="J609" s="85" t="s">
        <v>565</v>
      </c>
      <c r="K609" s="133"/>
      <c r="L609" s="133"/>
    </row>
    <row r="610" spans="3:12" hidden="1" x14ac:dyDescent="0.3">
      <c r="C610" s="29"/>
      <c r="D610" s="17"/>
      <c r="E610" s="42"/>
      <c r="F610" s="18">
        <v>0</v>
      </c>
      <c r="G610" s="69"/>
      <c r="H610" s="70"/>
      <c r="I610" s="71"/>
      <c r="J610" s="72"/>
      <c r="K610" s="126"/>
      <c r="L610" s="126"/>
    </row>
    <row r="611" spans="3:12" hidden="1" x14ac:dyDescent="0.3">
      <c r="C611" s="29"/>
      <c r="D611" s="17" t="s">
        <v>207</v>
      </c>
      <c r="E611" s="42" t="s">
        <v>51</v>
      </c>
      <c r="F611" s="18">
        <v>0</v>
      </c>
      <c r="G611" s="69"/>
      <c r="H611" s="70" t="s">
        <v>318</v>
      </c>
      <c r="I611" s="84" t="s">
        <v>566</v>
      </c>
      <c r="J611" s="85" t="s">
        <v>567</v>
      </c>
      <c r="K611" s="133"/>
      <c r="L611" s="133"/>
    </row>
    <row r="612" spans="3:12" hidden="1" x14ac:dyDescent="0.3">
      <c r="C612" s="29"/>
      <c r="D612" s="17"/>
      <c r="E612" s="42"/>
      <c r="F612" s="18">
        <v>0</v>
      </c>
      <c r="G612" s="69"/>
      <c r="H612" s="70"/>
      <c r="I612" s="71"/>
      <c r="J612" s="72"/>
      <c r="K612" s="126"/>
      <c r="L612" s="126"/>
    </row>
    <row r="613" spans="3:12" hidden="1" x14ac:dyDescent="0.3">
      <c r="C613" s="29"/>
      <c r="D613" s="17" t="s">
        <v>688</v>
      </c>
      <c r="E613" s="42" t="s">
        <v>51</v>
      </c>
      <c r="F613" s="18">
        <v>0</v>
      </c>
      <c r="G613" s="69"/>
      <c r="H613" s="70" t="s">
        <v>318</v>
      </c>
      <c r="I613" s="84" t="s">
        <v>568</v>
      </c>
      <c r="J613" s="85" t="s">
        <v>569</v>
      </c>
      <c r="K613" s="133"/>
      <c r="L613" s="133"/>
    </row>
    <row r="614" spans="3:12" hidden="1" x14ac:dyDescent="0.3">
      <c r="C614" s="29"/>
      <c r="D614" s="17"/>
      <c r="E614" s="42"/>
      <c r="F614" s="18">
        <v>0</v>
      </c>
      <c r="G614" s="69"/>
      <c r="H614" s="70"/>
      <c r="I614" s="71"/>
      <c r="J614" s="72"/>
      <c r="K614" s="126"/>
      <c r="L614" s="126"/>
    </row>
    <row r="615" spans="3:12" hidden="1" x14ac:dyDescent="0.3">
      <c r="C615" s="29"/>
      <c r="D615" s="17" t="s">
        <v>689</v>
      </c>
      <c r="E615" s="42" t="s">
        <v>51</v>
      </c>
      <c r="F615" s="18">
        <v>0</v>
      </c>
      <c r="G615" s="69"/>
      <c r="H615" s="70" t="s">
        <v>318</v>
      </c>
      <c r="I615" s="84" t="s">
        <v>570</v>
      </c>
      <c r="J615" s="85" t="s">
        <v>585</v>
      </c>
      <c r="K615" s="133"/>
      <c r="L615" s="133"/>
    </row>
    <row r="616" spans="3:12" hidden="1" x14ac:dyDescent="0.3">
      <c r="C616" s="29"/>
      <c r="D616" s="17"/>
      <c r="E616" s="42"/>
      <c r="F616" s="18">
        <v>0</v>
      </c>
      <c r="G616" s="69"/>
      <c r="H616" s="70"/>
      <c r="I616" s="71"/>
      <c r="J616" s="72"/>
      <c r="K616" s="126"/>
      <c r="L616" s="126"/>
    </row>
    <row r="617" spans="3:12" hidden="1" x14ac:dyDescent="0.3">
      <c r="C617" s="29"/>
      <c r="D617" s="17" t="s">
        <v>600</v>
      </c>
      <c r="E617" s="42" t="s">
        <v>51</v>
      </c>
      <c r="F617" s="18">
        <v>0</v>
      </c>
      <c r="G617" s="69"/>
      <c r="H617" s="70" t="s">
        <v>318</v>
      </c>
      <c r="I617" s="84" t="s">
        <v>601</v>
      </c>
      <c r="J617" s="85" t="s">
        <v>602</v>
      </c>
      <c r="K617" s="133"/>
      <c r="L617" s="133"/>
    </row>
    <row r="618" spans="3:12" hidden="1" x14ac:dyDescent="0.3">
      <c r="C618" s="29"/>
      <c r="D618" s="17"/>
      <c r="E618" s="42"/>
      <c r="F618" s="18">
        <v>0</v>
      </c>
      <c r="G618" s="69"/>
      <c r="H618" s="70"/>
      <c r="I618" s="71"/>
      <c r="J618" s="72"/>
      <c r="K618" s="126"/>
      <c r="L618" s="126"/>
    </row>
    <row r="619" spans="3:12" hidden="1" x14ac:dyDescent="0.3">
      <c r="C619" s="29"/>
      <c r="D619" s="17" t="s">
        <v>208</v>
      </c>
      <c r="E619" s="42" t="s">
        <v>51</v>
      </c>
      <c r="F619" s="18">
        <v>0</v>
      </c>
      <c r="G619" s="69"/>
      <c r="H619" s="70" t="s">
        <v>318</v>
      </c>
      <c r="I619" s="84" t="s">
        <v>571</v>
      </c>
      <c r="J619" s="85" t="s">
        <v>584</v>
      </c>
      <c r="K619" s="133"/>
      <c r="L619" s="133"/>
    </row>
    <row r="620" spans="3:12" hidden="1" x14ac:dyDescent="0.3">
      <c r="C620" s="29"/>
      <c r="D620" s="17"/>
      <c r="E620" s="42"/>
      <c r="F620" s="18">
        <v>0</v>
      </c>
      <c r="G620" s="69"/>
      <c r="H620" s="70"/>
      <c r="I620" s="71"/>
      <c r="J620" s="72"/>
      <c r="K620" s="126"/>
      <c r="L620" s="126"/>
    </row>
    <row r="621" spans="3:12" hidden="1" x14ac:dyDescent="0.3">
      <c r="C621" s="29"/>
      <c r="D621" s="17" t="s">
        <v>209</v>
      </c>
      <c r="E621" s="42" t="s">
        <v>51</v>
      </c>
      <c r="F621" s="18">
        <v>0</v>
      </c>
      <c r="G621" s="69"/>
      <c r="H621" s="70" t="s">
        <v>318</v>
      </c>
      <c r="I621" s="84" t="s">
        <v>572</v>
      </c>
      <c r="J621" s="85" t="s">
        <v>583</v>
      </c>
      <c r="K621" s="133"/>
      <c r="L621" s="133"/>
    </row>
    <row r="622" spans="3:12" hidden="1" x14ac:dyDescent="0.3">
      <c r="C622" s="29"/>
      <c r="D622" s="17"/>
      <c r="E622" s="42"/>
      <c r="F622" s="18">
        <v>0</v>
      </c>
      <c r="G622" s="69"/>
      <c r="H622" s="70"/>
      <c r="I622" s="71"/>
      <c r="J622" s="72"/>
      <c r="K622" s="126"/>
      <c r="L622" s="126"/>
    </row>
    <row r="623" spans="3:12" hidden="1" x14ac:dyDescent="0.3">
      <c r="C623" s="29"/>
      <c r="D623" s="17" t="s">
        <v>690</v>
      </c>
      <c r="E623" s="42" t="s">
        <v>51</v>
      </c>
      <c r="F623" s="18">
        <v>0</v>
      </c>
      <c r="G623" s="69"/>
      <c r="H623" s="70" t="s">
        <v>318</v>
      </c>
      <c r="I623" s="84" t="s">
        <v>573</v>
      </c>
      <c r="J623" s="85" t="s">
        <v>582</v>
      </c>
      <c r="K623" s="133"/>
      <c r="L623" s="133"/>
    </row>
    <row r="624" spans="3:12" hidden="1" x14ac:dyDescent="0.3">
      <c r="C624" s="29"/>
      <c r="D624" s="17"/>
      <c r="E624" s="42"/>
      <c r="F624" s="18">
        <v>0</v>
      </c>
      <c r="G624" s="69"/>
      <c r="H624" s="70"/>
      <c r="I624" s="71"/>
      <c r="J624" s="72"/>
      <c r="K624" s="126"/>
      <c r="L624" s="126"/>
    </row>
    <row r="625" spans="3:12" hidden="1" x14ac:dyDescent="0.3">
      <c r="C625" s="29"/>
      <c r="D625" s="17" t="s">
        <v>691</v>
      </c>
      <c r="E625" s="42" t="s">
        <v>51</v>
      </c>
      <c r="F625" s="18">
        <v>0</v>
      </c>
      <c r="G625" s="69"/>
      <c r="H625" s="70" t="s">
        <v>318</v>
      </c>
      <c r="I625" s="84" t="s">
        <v>574</v>
      </c>
      <c r="J625" s="85" t="s">
        <v>581</v>
      </c>
      <c r="K625" s="133"/>
      <c r="L625" s="133"/>
    </row>
    <row r="626" spans="3:12" hidden="1" x14ac:dyDescent="0.3">
      <c r="C626" s="29"/>
      <c r="D626" s="17"/>
      <c r="E626" s="42"/>
      <c r="F626" s="18">
        <v>0</v>
      </c>
      <c r="G626" s="69"/>
      <c r="H626" s="70"/>
      <c r="I626" s="71"/>
      <c r="J626" s="72"/>
      <c r="K626" s="126"/>
      <c r="L626" s="126"/>
    </row>
    <row r="627" spans="3:12" hidden="1" x14ac:dyDescent="0.3">
      <c r="C627" s="29"/>
      <c r="D627" s="17" t="s">
        <v>210</v>
      </c>
      <c r="E627" s="42" t="s">
        <v>51</v>
      </c>
      <c r="F627" s="18">
        <v>0</v>
      </c>
      <c r="G627" s="69"/>
      <c r="H627" s="70" t="s">
        <v>318</v>
      </c>
      <c r="I627" s="84" t="s">
        <v>575</v>
      </c>
      <c r="J627" s="85" t="s">
        <v>580</v>
      </c>
      <c r="K627" s="133"/>
      <c r="L627" s="133"/>
    </row>
    <row r="628" spans="3:12" hidden="1" x14ac:dyDescent="0.3">
      <c r="C628" s="29"/>
      <c r="D628" s="17"/>
      <c r="E628" s="42"/>
      <c r="F628" s="18">
        <v>0</v>
      </c>
      <c r="G628" s="69"/>
      <c r="H628" s="70"/>
      <c r="I628" s="71"/>
      <c r="J628" s="72"/>
      <c r="K628" s="126"/>
      <c r="L628" s="126"/>
    </row>
    <row r="629" spans="3:12" hidden="1" x14ac:dyDescent="0.3">
      <c r="C629" s="29"/>
      <c r="D629" s="17" t="s">
        <v>692</v>
      </c>
      <c r="E629" s="42" t="s">
        <v>51</v>
      </c>
      <c r="F629" s="18">
        <v>0</v>
      </c>
      <c r="G629" s="69"/>
      <c r="H629" s="70" t="s">
        <v>318</v>
      </c>
      <c r="I629" s="84" t="s">
        <v>576</v>
      </c>
      <c r="J629" s="85" t="s">
        <v>579</v>
      </c>
      <c r="K629" s="133"/>
      <c r="L629" s="133"/>
    </row>
    <row r="630" spans="3:12" hidden="1" x14ac:dyDescent="0.3">
      <c r="C630" s="29"/>
      <c r="D630" s="17"/>
      <c r="E630" s="42"/>
      <c r="F630" s="18">
        <v>0</v>
      </c>
      <c r="G630" s="69"/>
      <c r="H630" s="70"/>
      <c r="I630" s="71"/>
      <c r="J630" s="72"/>
      <c r="K630" s="126"/>
      <c r="L630" s="126"/>
    </row>
    <row r="631" spans="3:12" hidden="1" x14ac:dyDescent="0.3">
      <c r="C631" s="29"/>
      <c r="D631" s="17" t="s">
        <v>693</v>
      </c>
      <c r="E631" s="42" t="s">
        <v>51</v>
      </c>
      <c r="F631" s="18">
        <v>0</v>
      </c>
      <c r="G631" s="69"/>
      <c r="H631" s="70" t="s">
        <v>318</v>
      </c>
      <c r="I631" s="84" t="s">
        <v>577</v>
      </c>
      <c r="J631" s="85" t="s">
        <v>578</v>
      </c>
      <c r="K631" s="133"/>
      <c r="L631" s="133"/>
    </row>
    <row r="632" spans="3:12" hidden="1" x14ac:dyDescent="0.3">
      <c r="C632" s="29"/>
      <c r="D632" s="17"/>
      <c r="E632" s="42"/>
      <c r="F632" s="18">
        <v>0</v>
      </c>
      <c r="G632" s="69"/>
      <c r="H632" s="70"/>
      <c r="I632" s="71"/>
      <c r="J632" s="72"/>
      <c r="K632" s="126"/>
      <c r="L632" s="126"/>
    </row>
    <row r="633" spans="3:12" hidden="1" x14ac:dyDescent="0.3">
      <c r="C633" s="29"/>
      <c r="D633" s="17" t="s">
        <v>694</v>
      </c>
      <c r="E633" s="42" t="s">
        <v>51</v>
      </c>
      <c r="F633" s="18">
        <v>0</v>
      </c>
      <c r="G633" s="69"/>
      <c r="H633" s="70" t="s">
        <v>318</v>
      </c>
      <c r="I633" s="84" t="s">
        <v>586</v>
      </c>
      <c r="J633" s="85" t="s">
        <v>587</v>
      </c>
      <c r="K633" s="133"/>
      <c r="L633" s="133"/>
    </row>
    <row r="634" spans="3:12" hidden="1" x14ac:dyDescent="0.3">
      <c r="C634" s="29"/>
      <c r="D634" s="17"/>
      <c r="E634" s="42"/>
      <c r="F634" s="18">
        <v>0</v>
      </c>
      <c r="G634" s="69"/>
      <c r="H634" s="70"/>
      <c r="I634" s="71"/>
      <c r="J634" s="72"/>
      <c r="K634" s="126"/>
      <c r="L634" s="126"/>
    </row>
    <row r="635" spans="3:12" hidden="1" x14ac:dyDescent="0.3">
      <c r="C635" s="29"/>
      <c r="D635" s="17" t="s">
        <v>211</v>
      </c>
      <c r="E635" s="42" t="s">
        <v>51</v>
      </c>
      <c r="F635" s="18">
        <v>0</v>
      </c>
      <c r="G635" s="69"/>
      <c r="H635" s="70" t="s">
        <v>318</v>
      </c>
      <c r="I635" s="84" t="s">
        <v>588</v>
      </c>
      <c r="J635" s="85" t="s">
        <v>589</v>
      </c>
      <c r="K635" s="133"/>
      <c r="L635" s="133"/>
    </row>
    <row r="636" spans="3:12" hidden="1" x14ac:dyDescent="0.3">
      <c r="C636" s="29"/>
      <c r="D636" s="17"/>
      <c r="E636" s="42"/>
      <c r="F636" s="18">
        <v>0</v>
      </c>
      <c r="G636" s="69"/>
      <c r="H636" s="70"/>
      <c r="I636" s="71"/>
      <c r="J636" s="72"/>
      <c r="K636" s="126"/>
      <c r="L636" s="126"/>
    </row>
    <row r="637" spans="3:12" hidden="1" x14ac:dyDescent="0.3">
      <c r="C637" s="29"/>
      <c r="D637" s="17" t="s">
        <v>212</v>
      </c>
      <c r="E637" s="42" t="s">
        <v>51</v>
      </c>
      <c r="F637" s="18">
        <v>0</v>
      </c>
      <c r="G637" s="69"/>
      <c r="H637" s="70" t="s">
        <v>318</v>
      </c>
      <c r="I637" s="84" t="s">
        <v>590</v>
      </c>
      <c r="J637" s="85" t="s">
        <v>597</v>
      </c>
      <c r="K637" s="133"/>
      <c r="L637" s="133"/>
    </row>
    <row r="638" spans="3:12" hidden="1" x14ac:dyDescent="0.3">
      <c r="C638" s="29"/>
      <c r="D638" s="17"/>
      <c r="E638" s="42"/>
      <c r="F638" s="18">
        <v>0</v>
      </c>
      <c r="G638" s="69"/>
      <c r="H638" s="70"/>
      <c r="I638" s="71"/>
      <c r="J638" s="72"/>
      <c r="K638" s="126"/>
      <c r="L638" s="126"/>
    </row>
    <row r="639" spans="3:12" hidden="1" x14ac:dyDescent="0.3">
      <c r="C639" s="29"/>
      <c r="D639" s="17" t="s">
        <v>213</v>
      </c>
      <c r="E639" s="42" t="s">
        <v>51</v>
      </c>
      <c r="F639" s="18">
        <v>0</v>
      </c>
      <c r="G639" s="69"/>
      <c r="H639" s="70" t="s">
        <v>318</v>
      </c>
      <c r="I639" s="84" t="s">
        <v>591</v>
      </c>
      <c r="J639" s="85" t="s">
        <v>596</v>
      </c>
      <c r="K639" s="133"/>
      <c r="L639" s="133"/>
    </row>
    <row r="640" spans="3:12" hidden="1" x14ac:dyDescent="0.3">
      <c r="C640" s="29"/>
      <c r="D640" s="17"/>
      <c r="E640" s="42"/>
      <c r="F640" s="18">
        <v>0</v>
      </c>
      <c r="G640" s="69"/>
      <c r="H640" s="70"/>
      <c r="I640" s="71"/>
      <c r="J640" s="72"/>
      <c r="K640" s="126"/>
      <c r="L640" s="126"/>
    </row>
    <row r="641" spans="3:12" hidden="1" x14ac:dyDescent="0.3">
      <c r="C641" s="29"/>
      <c r="D641" s="17" t="s">
        <v>214</v>
      </c>
      <c r="E641" s="42" t="s">
        <v>51</v>
      </c>
      <c r="F641" s="18">
        <v>0</v>
      </c>
      <c r="G641" s="69"/>
      <c r="H641" s="70" t="s">
        <v>318</v>
      </c>
      <c r="I641" s="84" t="s">
        <v>592</v>
      </c>
      <c r="J641" s="85" t="s">
        <v>595</v>
      </c>
      <c r="K641" s="133"/>
      <c r="L641" s="133"/>
    </row>
    <row r="642" spans="3:12" hidden="1" x14ac:dyDescent="0.3">
      <c r="C642" s="29"/>
      <c r="D642" s="17"/>
      <c r="E642" s="42"/>
      <c r="F642" s="18">
        <v>0</v>
      </c>
      <c r="G642" s="69"/>
      <c r="H642" s="70"/>
      <c r="I642" s="71"/>
      <c r="J642" s="72"/>
      <c r="K642" s="126"/>
      <c r="L642" s="126"/>
    </row>
    <row r="643" spans="3:12" hidden="1" x14ac:dyDescent="0.3">
      <c r="C643" s="29"/>
      <c r="D643" s="17" t="s">
        <v>215</v>
      </c>
      <c r="E643" s="42" t="s">
        <v>51</v>
      </c>
      <c r="F643" s="18">
        <v>0</v>
      </c>
      <c r="G643" s="69"/>
      <c r="H643" s="70" t="s">
        <v>318</v>
      </c>
      <c r="I643" s="84" t="s">
        <v>593</v>
      </c>
      <c r="J643" s="85" t="s">
        <v>594</v>
      </c>
      <c r="K643" s="133"/>
      <c r="L643" s="133"/>
    </row>
    <row r="644" spans="3:12" hidden="1" x14ac:dyDescent="0.3">
      <c r="C644" s="29"/>
      <c r="D644" s="17"/>
      <c r="E644" s="42"/>
      <c r="F644" s="18">
        <v>0</v>
      </c>
      <c r="G644" s="69"/>
      <c r="H644" s="70"/>
      <c r="I644" s="71"/>
      <c r="J644" s="72"/>
      <c r="K644" s="126"/>
      <c r="L644" s="126"/>
    </row>
    <row r="645" spans="3:12" hidden="1" x14ac:dyDescent="0.3">
      <c r="C645" s="29"/>
      <c r="D645" s="17" t="s">
        <v>216</v>
      </c>
      <c r="E645" s="42" t="s">
        <v>51</v>
      </c>
      <c r="F645" s="18">
        <v>0</v>
      </c>
      <c r="G645" s="69"/>
      <c r="H645" s="70" t="s">
        <v>318</v>
      </c>
      <c r="I645" s="84" t="s">
        <v>598</v>
      </c>
      <c r="J645" s="85" t="s">
        <v>599</v>
      </c>
      <c r="K645" s="133"/>
      <c r="L645" s="133"/>
    </row>
    <row r="646" spans="3:12" hidden="1" x14ac:dyDescent="0.3">
      <c r="C646" s="29"/>
      <c r="D646" s="17"/>
      <c r="E646" s="42"/>
      <c r="F646" s="18">
        <v>0</v>
      </c>
      <c r="G646" s="69"/>
      <c r="H646" s="70"/>
      <c r="I646" s="71"/>
      <c r="J646" s="72"/>
      <c r="K646" s="126"/>
      <c r="L646" s="126"/>
    </row>
    <row r="647" spans="3:12" hidden="1" x14ac:dyDescent="0.3">
      <c r="C647" s="29"/>
      <c r="D647" s="17" t="s">
        <v>217</v>
      </c>
      <c r="E647" s="42" t="s">
        <v>51</v>
      </c>
      <c r="F647" s="18">
        <v>0</v>
      </c>
      <c r="G647" s="69"/>
      <c r="H647" s="70" t="s">
        <v>318</v>
      </c>
      <c r="I647" s="84" t="s">
        <v>601</v>
      </c>
      <c r="J647" s="85" t="s">
        <v>602</v>
      </c>
      <c r="K647" s="133"/>
      <c r="L647" s="133"/>
    </row>
    <row r="648" spans="3:12" hidden="1" x14ac:dyDescent="0.3">
      <c r="C648" s="29"/>
      <c r="D648" s="17"/>
      <c r="E648" s="42"/>
      <c r="F648" s="18">
        <v>0</v>
      </c>
      <c r="G648" s="69"/>
      <c r="H648" s="70"/>
      <c r="I648" s="71"/>
      <c r="J648" s="72"/>
      <c r="K648" s="126"/>
      <c r="L648" s="126"/>
    </row>
    <row r="649" spans="3:12" hidden="1" x14ac:dyDescent="0.3">
      <c r="C649" s="29"/>
      <c r="D649" s="17" t="s">
        <v>218</v>
      </c>
      <c r="E649" s="42" t="s">
        <v>90</v>
      </c>
      <c r="F649" s="18">
        <v>0</v>
      </c>
      <c r="G649" s="69"/>
      <c r="H649" s="70" t="s">
        <v>318</v>
      </c>
      <c r="I649" s="84" t="s">
        <v>603</v>
      </c>
      <c r="J649" s="85" t="s">
        <v>604</v>
      </c>
      <c r="K649" s="133"/>
      <c r="L649" s="133"/>
    </row>
    <row r="650" spans="3:12" hidden="1" x14ac:dyDescent="0.3">
      <c r="C650" s="29"/>
      <c r="D650" s="17"/>
      <c r="E650" s="42"/>
      <c r="F650" s="18">
        <v>0</v>
      </c>
      <c r="G650" s="69"/>
      <c r="H650" s="70"/>
      <c r="I650" s="71"/>
      <c r="J650" s="72"/>
      <c r="K650" s="126"/>
      <c r="L650" s="126"/>
    </row>
    <row r="651" spans="3:12" hidden="1" x14ac:dyDescent="0.3">
      <c r="C651" s="29"/>
      <c r="D651" s="17" t="s">
        <v>219</v>
      </c>
      <c r="E651" s="42" t="s">
        <v>51</v>
      </c>
      <c r="F651" s="18">
        <v>0</v>
      </c>
      <c r="G651" s="69"/>
      <c r="H651" s="70" t="s">
        <v>318</v>
      </c>
      <c r="I651" s="84" t="s">
        <v>603</v>
      </c>
      <c r="J651" s="85" t="s">
        <v>605</v>
      </c>
      <c r="K651" s="133"/>
      <c r="L651" s="133"/>
    </row>
    <row r="652" spans="3:12" hidden="1" x14ac:dyDescent="0.3">
      <c r="C652" s="29"/>
      <c r="D652" s="17"/>
      <c r="E652" s="42"/>
      <c r="F652" s="18">
        <v>0</v>
      </c>
      <c r="G652" s="69"/>
      <c r="H652" s="70"/>
      <c r="I652" s="71"/>
      <c r="J652" s="72"/>
      <c r="K652" s="126"/>
      <c r="L652" s="126"/>
    </row>
    <row r="653" spans="3:12" ht="105.2" hidden="1" x14ac:dyDescent="0.3">
      <c r="C653" s="29"/>
      <c r="D653" s="17" t="s">
        <v>220</v>
      </c>
      <c r="E653" s="42" t="s">
        <v>51</v>
      </c>
      <c r="F653" s="18">
        <v>0</v>
      </c>
      <c r="G653" s="69"/>
      <c r="H653" s="70" t="s">
        <v>318</v>
      </c>
      <c r="I653" s="84" t="s">
        <v>560</v>
      </c>
      <c r="J653" s="58" t="s">
        <v>695</v>
      </c>
      <c r="K653" s="133"/>
      <c r="L653" s="133"/>
    </row>
    <row r="654" spans="3:12" hidden="1" x14ac:dyDescent="0.3">
      <c r="C654" s="29"/>
      <c r="D654" s="17"/>
      <c r="E654" s="42"/>
      <c r="F654" s="18">
        <v>0</v>
      </c>
      <c r="G654" s="69"/>
      <c r="H654" s="70"/>
      <c r="I654" s="84" t="s">
        <v>562</v>
      </c>
      <c r="J654" s="85"/>
      <c r="K654" s="133"/>
      <c r="L654" s="133"/>
    </row>
    <row r="655" spans="3:12" hidden="1" x14ac:dyDescent="0.3">
      <c r="C655" s="29"/>
      <c r="D655" s="17"/>
      <c r="E655" s="42"/>
      <c r="F655" s="18">
        <v>0</v>
      </c>
      <c r="G655" s="69"/>
      <c r="H655" s="70"/>
      <c r="I655" s="84" t="s">
        <v>564</v>
      </c>
      <c r="J655" s="85"/>
      <c r="K655" s="133"/>
      <c r="L655" s="133"/>
    </row>
    <row r="656" spans="3:12" hidden="1" x14ac:dyDescent="0.3">
      <c r="C656" s="29"/>
      <c r="D656" s="17"/>
      <c r="E656" s="42"/>
      <c r="F656" s="18">
        <v>0</v>
      </c>
      <c r="G656" s="69"/>
      <c r="H656" s="70"/>
      <c r="I656" s="84" t="s">
        <v>566</v>
      </c>
      <c r="J656" s="85"/>
      <c r="K656" s="133"/>
      <c r="L656" s="133"/>
    </row>
    <row r="657" spans="3:12" hidden="1" x14ac:dyDescent="0.3">
      <c r="C657" s="29"/>
      <c r="D657" s="17"/>
      <c r="E657" s="42"/>
      <c r="F657" s="18">
        <v>0</v>
      </c>
      <c r="G657" s="69"/>
      <c r="H657" s="70"/>
      <c r="I657" s="84" t="s">
        <v>568</v>
      </c>
      <c r="J657" s="85"/>
      <c r="K657" s="133"/>
      <c r="L657" s="133"/>
    </row>
    <row r="658" spans="3:12" hidden="1" x14ac:dyDescent="0.3">
      <c r="C658" s="29"/>
      <c r="D658" s="17"/>
      <c r="E658" s="42"/>
      <c r="F658" s="18">
        <v>0</v>
      </c>
      <c r="G658" s="69"/>
      <c r="H658" s="70"/>
      <c r="I658" s="84" t="s">
        <v>570</v>
      </c>
      <c r="J658" s="85"/>
      <c r="K658" s="133"/>
      <c r="L658" s="133"/>
    </row>
    <row r="659" spans="3:12" hidden="1" x14ac:dyDescent="0.3">
      <c r="C659" s="29"/>
      <c r="D659" s="17"/>
      <c r="E659" s="42"/>
      <c r="F659" s="18">
        <v>0</v>
      </c>
      <c r="G659" s="69"/>
      <c r="H659" s="70"/>
      <c r="I659" s="84" t="s">
        <v>601</v>
      </c>
      <c r="J659" s="85"/>
      <c r="K659" s="133"/>
      <c r="L659" s="133"/>
    </row>
    <row r="660" spans="3:12" hidden="1" x14ac:dyDescent="0.3">
      <c r="C660" s="29"/>
      <c r="D660" s="17"/>
      <c r="E660" s="42"/>
      <c r="F660" s="18">
        <v>0</v>
      </c>
      <c r="G660" s="69"/>
      <c r="H660" s="70"/>
      <c r="I660" s="84" t="s">
        <v>571</v>
      </c>
      <c r="J660" s="85"/>
      <c r="K660" s="133"/>
      <c r="L660" s="133"/>
    </row>
    <row r="661" spans="3:12" hidden="1" x14ac:dyDescent="0.3">
      <c r="C661" s="29"/>
      <c r="D661" s="17"/>
      <c r="E661" s="42"/>
      <c r="F661" s="18">
        <v>0</v>
      </c>
      <c r="G661" s="69"/>
      <c r="H661" s="70"/>
      <c r="I661" s="84" t="s">
        <v>572</v>
      </c>
      <c r="J661" s="85"/>
      <c r="K661" s="133"/>
      <c r="L661" s="133"/>
    </row>
    <row r="662" spans="3:12" hidden="1" x14ac:dyDescent="0.3">
      <c r="C662" s="29"/>
      <c r="D662" s="17"/>
      <c r="E662" s="42"/>
      <c r="F662" s="18">
        <v>0</v>
      </c>
      <c r="G662" s="69"/>
      <c r="H662" s="70"/>
      <c r="I662" s="84" t="s">
        <v>573</v>
      </c>
      <c r="J662" s="85"/>
      <c r="K662" s="133"/>
      <c r="L662" s="133"/>
    </row>
    <row r="663" spans="3:12" hidden="1" x14ac:dyDescent="0.3">
      <c r="C663" s="29"/>
      <c r="D663" s="17"/>
      <c r="E663" s="42"/>
      <c r="F663" s="18">
        <v>0</v>
      </c>
      <c r="G663" s="69"/>
      <c r="H663" s="70"/>
      <c r="I663" s="84" t="s">
        <v>574</v>
      </c>
      <c r="J663" s="85"/>
      <c r="K663" s="133"/>
      <c r="L663" s="133"/>
    </row>
    <row r="664" spans="3:12" hidden="1" x14ac:dyDescent="0.3">
      <c r="C664" s="29"/>
      <c r="D664" s="17"/>
      <c r="E664" s="42"/>
      <c r="F664" s="18">
        <v>0</v>
      </c>
      <c r="G664" s="69"/>
      <c r="H664" s="70"/>
      <c r="I664" s="84" t="s">
        <v>575</v>
      </c>
      <c r="J664" s="85"/>
      <c r="K664" s="133"/>
      <c r="L664" s="133"/>
    </row>
    <row r="665" spans="3:12" hidden="1" x14ac:dyDescent="0.3">
      <c r="C665" s="29"/>
      <c r="D665" s="17"/>
      <c r="E665" s="42"/>
      <c r="F665" s="18">
        <v>0</v>
      </c>
      <c r="G665" s="69"/>
      <c r="H665" s="70"/>
      <c r="I665" s="84" t="s">
        <v>576</v>
      </c>
      <c r="J665" s="85"/>
      <c r="K665" s="133"/>
      <c r="L665" s="133"/>
    </row>
    <row r="666" spans="3:12" hidden="1" x14ac:dyDescent="0.3">
      <c r="C666" s="29"/>
      <c r="D666" s="17"/>
      <c r="E666" s="42"/>
      <c r="F666" s="18">
        <v>0</v>
      </c>
      <c r="G666" s="69"/>
      <c r="H666" s="70"/>
      <c r="I666" s="84" t="s">
        <v>577</v>
      </c>
      <c r="J666" s="85"/>
      <c r="K666" s="133"/>
      <c r="L666" s="133"/>
    </row>
    <row r="667" spans="3:12" hidden="1" x14ac:dyDescent="0.3">
      <c r="C667" s="29"/>
      <c r="D667" s="17"/>
      <c r="E667" s="42"/>
      <c r="F667" s="18">
        <v>0</v>
      </c>
      <c r="G667" s="69"/>
      <c r="H667" s="70"/>
      <c r="I667" s="84" t="s">
        <v>586</v>
      </c>
      <c r="J667" s="85"/>
      <c r="K667" s="133"/>
      <c r="L667" s="133"/>
    </row>
    <row r="668" spans="3:12" hidden="1" x14ac:dyDescent="0.3">
      <c r="C668" s="13"/>
      <c r="D668" s="14"/>
      <c r="E668" s="41"/>
      <c r="F668" s="15">
        <v>0</v>
      </c>
      <c r="G668" s="69"/>
      <c r="H668" s="70"/>
      <c r="I668" s="84" t="s">
        <v>588</v>
      </c>
      <c r="J668" s="85"/>
      <c r="K668" s="133"/>
      <c r="L668" s="133"/>
    </row>
    <row r="669" spans="3:12" hidden="1" x14ac:dyDescent="0.3">
      <c r="C669" s="29"/>
      <c r="D669" s="17"/>
      <c r="E669" s="42"/>
      <c r="F669" s="18">
        <v>0</v>
      </c>
      <c r="G669" s="69"/>
      <c r="H669" s="70"/>
      <c r="I669" s="71"/>
      <c r="J669" s="72"/>
      <c r="K669" s="126"/>
      <c r="L669" s="126"/>
    </row>
    <row r="670" spans="3:12" hidden="1" x14ac:dyDescent="0.3">
      <c r="C670" s="29"/>
      <c r="D670" s="17" t="s">
        <v>223</v>
      </c>
      <c r="E670" s="42" t="s">
        <v>51</v>
      </c>
      <c r="F670" s="18">
        <v>0</v>
      </c>
      <c r="G670" s="69"/>
      <c r="H670" s="70" t="s">
        <v>318</v>
      </c>
      <c r="I670" s="84" t="s">
        <v>606</v>
      </c>
      <c r="J670" s="85" t="s">
        <v>617</v>
      </c>
      <c r="K670" s="133"/>
      <c r="L670" s="133"/>
    </row>
    <row r="671" spans="3:12" hidden="1" x14ac:dyDescent="0.3">
      <c r="C671" s="29"/>
      <c r="D671" s="17"/>
      <c r="E671" s="42"/>
      <c r="F671" s="18">
        <v>0</v>
      </c>
      <c r="G671" s="69"/>
      <c r="H671" s="70"/>
      <c r="I671" s="71"/>
      <c r="J671" s="72"/>
      <c r="K671" s="126"/>
      <c r="L671" s="126"/>
    </row>
    <row r="672" spans="3:12" hidden="1" x14ac:dyDescent="0.3">
      <c r="C672" s="29"/>
      <c r="D672" s="17" t="s">
        <v>224</v>
      </c>
      <c r="E672" s="42" t="s">
        <v>51</v>
      </c>
      <c r="F672" s="18">
        <v>0</v>
      </c>
      <c r="G672" s="69"/>
      <c r="H672" s="70" t="s">
        <v>318</v>
      </c>
      <c r="I672" s="84" t="s">
        <v>607</v>
      </c>
      <c r="J672" s="85" t="s">
        <v>616</v>
      </c>
      <c r="K672" s="133"/>
      <c r="L672" s="133"/>
    </row>
    <row r="673" spans="3:12" hidden="1" x14ac:dyDescent="0.3">
      <c r="C673" s="29"/>
      <c r="D673" s="17"/>
      <c r="E673" s="42"/>
      <c r="F673" s="18">
        <v>0</v>
      </c>
      <c r="G673" s="69"/>
      <c r="H673" s="70"/>
      <c r="I673" s="71"/>
      <c r="J673" s="72"/>
      <c r="K673" s="126"/>
      <c r="L673" s="126"/>
    </row>
    <row r="674" spans="3:12" hidden="1" x14ac:dyDescent="0.3">
      <c r="C674" s="29"/>
      <c r="D674" s="17" t="s">
        <v>225</v>
      </c>
      <c r="E674" s="42" t="s">
        <v>51</v>
      </c>
      <c r="F674" s="18">
        <v>0</v>
      </c>
      <c r="G674" s="69"/>
      <c r="H674" s="70" t="s">
        <v>318</v>
      </c>
      <c r="I674" s="84" t="s">
        <v>608</v>
      </c>
      <c r="J674" s="85" t="s">
        <v>615</v>
      </c>
      <c r="K674" s="133"/>
      <c r="L674" s="133"/>
    </row>
    <row r="675" spans="3:12" hidden="1" x14ac:dyDescent="0.3">
      <c r="C675" s="29"/>
      <c r="D675" s="17"/>
      <c r="E675" s="42"/>
      <c r="F675" s="18">
        <v>0</v>
      </c>
      <c r="G675" s="69"/>
      <c r="H675" s="70"/>
      <c r="I675" s="71"/>
      <c r="J675" s="72"/>
      <c r="K675" s="126"/>
      <c r="L675" s="126"/>
    </row>
    <row r="676" spans="3:12" hidden="1" x14ac:dyDescent="0.3">
      <c r="C676" s="29"/>
      <c r="D676" s="17" t="s">
        <v>226</v>
      </c>
      <c r="E676" s="42" t="s">
        <v>51</v>
      </c>
      <c r="F676" s="18">
        <v>0</v>
      </c>
      <c r="G676" s="69"/>
      <c r="H676" s="70" t="s">
        <v>318</v>
      </c>
      <c r="I676" s="84" t="s">
        <v>609</v>
      </c>
      <c r="J676" s="85" t="s">
        <v>614</v>
      </c>
      <c r="K676" s="133"/>
      <c r="L676" s="133"/>
    </row>
    <row r="677" spans="3:12" hidden="1" x14ac:dyDescent="0.3">
      <c r="C677" s="29"/>
      <c r="D677" s="17"/>
      <c r="E677" s="42"/>
      <c r="F677" s="18">
        <v>0</v>
      </c>
      <c r="G677" s="69"/>
      <c r="H677" s="70"/>
      <c r="I677" s="71"/>
      <c r="J677" s="72"/>
      <c r="K677" s="126"/>
      <c r="L677" s="126"/>
    </row>
    <row r="678" spans="3:12" hidden="1" x14ac:dyDescent="0.3">
      <c r="C678" s="29"/>
      <c r="D678" s="17" t="s">
        <v>227</v>
      </c>
      <c r="E678" s="42" t="s">
        <v>51</v>
      </c>
      <c r="F678" s="18">
        <v>0</v>
      </c>
      <c r="G678" s="69"/>
      <c r="H678" s="70" t="s">
        <v>318</v>
      </c>
      <c r="I678" s="84" t="s">
        <v>610</v>
      </c>
      <c r="J678" s="85" t="s">
        <v>613</v>
      </c>
      <c r="K678" s="133"/>
      <c r="L678" s="133"/>
    </row>
    <row r="679" spans="3:12" hidden="1" x14ac:dyDescent="0.3">
      <c r="C679" s="29"/>
      <c r="D679" s="17"/>
      <c r="E679" s="42"/>
      <c r="F679" s="18">
        <v>0</v>
      </c>
      <c r="G679" s="69"/>
      <c r="H679" s="70"/>
      <c r="I679" s="71"/>
      <c r="J679" s="72"/>
      <c r="K679" s="126"/>
      <c r="L679" s="126"/>
    </row>
    <row r="680" spans="3:12" hidden="1" x14ac:dyDescent="0.3">
      <c r="C680" s="29"/>
      <c r="D680" s="17" t="s">
        <v>228</v>
      </c>
      <c r="E680" s="42" t="s">
        <v>51</v>
      </c>
      <c r="F680" s="18">
        <v>0</v>
      </c>
      <c r="G680" s="69"/>
      <c r="H680" s="70" t="s">
        <v>318</v>
      </c>
      <c r="I680" s="84" t="s">
        <v>611</v>
      </c>
      <c r="J680" s="85" t="s">
        <v>612</v>
      </c>
      <c r="K680" s="133"/>
      <c r="L680" s="133"/>
    </row>
    <row r="681" spans="3:12" hidden="1" x14ac:dyDescent="0.3">
      <c r="C681" s="29"/>
      <c r="D681" s="17"/>
      <c r="E681" s="42"/>
      <c r="F681" s="18">
        <v>0</v>
      </c>
      <c r="G681" s="69"/>
      <c r="H681" s="70"/>
      <c r="I681" s="71"/>
      <c r="J681" s="72"/>
      <c r="K681" s="126"/>
      <c r="L681" s="126"/>
    </row>
    <row r="682" spans="3:12" hidden="1" x14ac:dyDescent="0.3">
      <c r="C682" s="29"/>
      <c r="D682" s="17" t="s">
        <v>229</v>
      </c>
      <c r="E682" s="42" t="s">
        <v>51</v>
      </c>
      <c r="F682" s="18">
        <v>0</v>
      </c>
      <c r="G682" s="69"/>
      <c r="H682" s="70" t="s">
        <v>318</v>
      </c>
      <c r="I682" s="84" t="s">
        <v>618</v>
      </c>
      <c r="J682" s="85" t="s">
        <v>619</v>
      </c>
      <c r="K682" s="133"/>
      <c r="L682" s="133"/>
    </row>
    <row r="683" spans="3:12" hidden="1" x14ac:dyDescent="0.3">
      <c r="C683" s="29"/>
      <c r="D683" s="17"/>
      <c r="E683" s="42"/>
      <c r="F683" s="18">
        <v>0</v>
      </c>
      <c r="G683" s="69"/>
      <c r="H683" s="70"/>
      <c r="I683" s="71"/>
      <c r="J683" s="72"/>
      <c r="K683" s="126"/>
      <c r="L683" s="126"/>
    </row>
    <row r="684" spans="3:12" hidden="1" x14ac:dyDescent="0.3">
      <c r="C684" s="29"/>
      <c r="D684" s="17" t="s">
        <v>230</v>
      </c>
      <c r="E684" s="42" t="s">
        <v>51</v>
      </c>
      <c r="F684" s="18">
        <v>0</v>
      </c>
      <c r="G684" s="69"/>
      <c r="H684" s="70" t="s">
        <v>318</v>
      </c>
      <c r="I684" s="84" t="s">
        <v>620</v>
      </c>
      <c r="J684" s="85" t="s">
        <v>621</v>
      </c>
      <c r="K684" s="133"/>
      <c r="L684" s="133"/>
    </row>
    <row r="685" spans="3:12" hidden="1" x14ac:dyDescent="0.3">
      <c r="C685" s="29"/>
      <c r="D685" s="17"/>
      <c r="E685" s="42"/>
      <c r="F685" s="18">
        <v>0</v>
      </c>
      <c r="G685" s="69"/>
      <c r="H685" s="70"/>
      <c r="I685" s="71"/>
      <c r="J685" s="72"/>
      <c r="K685" s="126"/>
      <c r="L685" s="126"/>
    </row>
    <row r="686" spans="3:12" hidden="1" x14ac:dyDescent="0.3">
      <c r="C686" s="29"/>
      <c r="D686" s="17" t="s">
        <v>231</v>
      </c>
      <c r="E686" s="42" t="s">
        <v>51</v>
      </c>
      <c r="F686" s="18">
        <v>0</v>
      </c>
      <c r="G686" s="69"/>
      <c r="H686" s="70" t="s">
        <v>318</v>
      </c>
      <c r="I686" s="84" t="s">
        <v>622</v>
      </c>
      <c r="J686" s="85" t="s">
        <v>623</v>
      </c>
      <c r="K686" s="133"/>
      <c r="L686" s="133"/>
    </row>
    <row r="687" spans="3:12" hidden="1" x14ac:dyDescent="0.3">
      <c r="C687" s="29"/>
      <c r="D687" s="17"/>
      <c r="E687" s="42"/>
      <c r="F687" s="18">
        <v>0</v>
      </c>
      <c r="G687" s="69"/>
      <c r="H687" s="70"/>
      <c r="I687" s="71"/>
      <c r="J687" s="72"/>
      <c r="K687" s="126"/>
      <c r="L687" s="126"/>
    </row>
    <row r="688" spans="3:12" hidden="1" x14ac:dyDescent="0.3">
      <c r="C688" s="29"/>
      <c r="D688" s="17" t="s">
        <v>232</v>
      </c>
      <c r="E688" s="42" t="s">
        <v>51</v>
      </c>
      <c r="F688" s="18">
        <v>0</v>
      </c>
      <c r="G688" s="69"/>
      <c r="H688" s="70" t="s">
        <v>318</v>
      </c>
      <c r="I688" s="84" t="s">
        <v>624</v>
      </c>
      <c r="J688" s="85" t="s">
        <v>625</v>
      </c>
      <c r="K688" s="133"/>
      <c r="L688" s="133"/>
    </row>
    <row r="689" spans="3:12" hidden="1" x14ac:dyDescent="0.3">
      <c r="C689" s="29"/>
      <c r="D689" s="17"/>
      <c r="E689" s="42"/>
      <c r="F689" s="18">
        <v>0</v>
      </c>
      <c r="G689" s="69"/>
      <c r="H689" s="70"/>
      <c r="I689" s="71"/>
      <c r="J689" s="72"/>
      <c r="K689" s="126"/>
      <c r="L689" s="126"/>
    </row>
    <row r="690" spans="3:12" hidden="1" x14ac:dyDescent="0.3">
      <c r="C690" s="29"/>
      <c r="D690" s="17" t="s">
        <v>234</v>
      </c>
      <c r="E690" s="42" t="s">
        <v>51</v>
      </c>
      <c r="F690" s="18">
        <v>0</v>
      </c>
      <c r="G690" s="69"/>
      <c r="H690" s="70" t="s">
        <v>318</v>
      </c>
      <c r="I690" s="84" t="s">
        <v>626</v>
      </c>
      <c r="J690" s="85" t="s">
        <v>627</v>
      </c>
      <c r="K690" s="133"/>
      <c r="L690" s="133"/>
    </row>
    <row r="691" spans="3:12" hidden="1" x14ac:dyDescent="0.3">
      <c r="C691" s="29"/>
      <c r="D691" s="17"/>
      <c r="E691" s="42"/>
      <c r="F691" s="18">
        <v>0</v>
      </c>
      <c r="G691" s="69"/>
      <c r="H691" s="70"/>
      <c r="I691" s="71"/>
      <c r="J691" s="72"/>
      <c r="K691" s="126"/>
      <c r="L691" s="126"/>
    </row>
    <row r="692" spans="3:12" hidden="1" x14ac:dyDescent="0.3">
      <c r="C692" s="29"/>
      <c r="D692" s="17" t="s">
        <v>235</v>
      </c>
      <c r="E692" s="42" t="s">
        <v>51</v>
      </c>
      <c r="F692" s="18">
        <v>0</v>
      </c>
      <c r="G692" s="69"/>
      <c r="H692" s="70" t="s">
        <v>318</v>
      </c>
      <c r="I692" s="84" t="s">
        <v>628</v>
      </c>
      <c r="J692" s="85" t="s">
        <v>629</v>
      </c>
      <c r="K692" s="133"/>
      <c r="L692" s="133"/>
    </row>
    <row r="693" spans="3:12" hidden="1" x14ac:dyDescent="0.3">
      <c r="C693" s="13"/>
      <c r="D693" s="14"/>
      <c r="E693" s="41"/>
      <c r="F693" s="15">
        <v>0</v>
      </c>
      <c r="G693" s="69"/>
      <c r="H693" s="70"/>
      <c r="I693" s="71"/>
      <c r="J693" s="72"/>
      <c r="K693" s="126"/>
      <c r="L693" s="126"/>
    </row>
    <row r="694" spans="3:12" hidden="1" x14ac:dyDescent="0.3">
      <c r="C694" s="13"/>
      <c r="D694" s="28" t="s">
        <v>321</v>
      </c>
      <c r="E694" s="41"/>
      <c r="F694" s="15">
        <v>0</v>
      </c>
      <c r="G694" s="69"/>
      <c r="H694" s="70"/>
      <c r="I694" s="71"/>
      <c r="J694" s="72"/>
      <c r="K694" s="126"/>
      <c r="L694" s="126"/>
    </row>
    <row r="695" spans="3:12" hidden="1" x14ac:dyDescent="0.3">
      <c r="C695" s="29"/>
      <c r="D695" s="17"/>
      <c r="E695" s="42"/>
      <c r="F695" s="18">
        <v>0</v>
      </c>
      <c r="G695" s="69"/>
      <c r="H695" s="70"/>
      <c r="I695" s="71"/>
      <c r="J695" s="72"/>
      <c r="K695" s="126"/>
      <c r="L695" s="126"/>
    </row>
    <row r="696" spans="3:12" hidden="1" x14ac:dyDescent="0.3">
      <c r="C696" s="29"/>
      <c r="D696" s="17" t="s">
        <v>236</v>
      </c>
      <c r="E696" s="42" t="s">
        <v>51</v>
      </c>
      <c r="F696" s="18">
        <v>0</v>
      </c>
      <c r="G696" s="69"/>
      <c r="H696" s="70" t="s">
        <v>318</v>
      </c>
      <c r="I696" s="84" t="s">
        <v>630</v>
      </c>
      <c r="J696" s="85" t="s">
        <v>631</v>
      </c>
      <c r="K696" s="133"/>
      <c r="L696" s="133"/>
    </row>
    <row r="697" spans="3:12" hidden="1" x14ac:dyDescent="0.3">
      <c r="C697" s="29"/>
      <c r="D697" s="17"/>
      <c r="E697" s="42"/>
      <c r="F697" s="18">
        <v>0</v>
      </c>
      <c r="G697" s="69"/>
      <c r="H697" s="70"/>
      <c r="I697" s="71"/>
      <c r="J697" s="72"/>
      <c r="K697" s="126"/>
      <c r="L697" s="126"/>
    </row>
    <row r="698" spans="3:12" hidden="1" x14ac:dyDescent="0.3">
      <c r="C698" s="29"/>
      <c r="D698" s="17" t="s">
        <v>237</v>
      </c>
      <c r="E698" s="42" t="s">
        <v>51</v>
      </c>
      <c r="F698" s="18">
        <v>0</v>
      </c>
      <c r="G698" s="69"/>
      <c r="H698" s="70" t="s">
        <v>318</v>
      </c>
      <c r="I698" s="84" t="s">
        <v>632</v>
      </c>
      <c r="J698" s="85" t="s">
        <v>633</v>
      </c>
      <c r="K698" s="133"/>
      <c r="L698" s="133"/>
    </row>
    <row r="699" spans="3:12" hidden="1" x14ac:dyDescent="0.3">
      <c r="C699" s="29"/>
      <c r="D699" s="17"/>
      <c r="E699" s="42"/>
      <c r="F699" s="18">
        <v>0</v>
      </c>
      <c r="G699" s="69"/>
      <c r="H699" s="70"/>
      <c r="I699" s="71"/>
      <c r="J699" s="72"/>
      <c r="K699" s="126"/>
      <c r="L699" s="126"/>
    </row>
    <row r="700" spans="3:12" hidden="1" x14ac:dyDescent="0.3">
      <c r="C700" s="29"/>
      <c r="D700" s="17" t="s">
        <v>238</v>
      </c>
      <c r="E700" s="42" t="s">
        <v>51</v>
      </c>
      <c r="F700" s="18">
        <v>0</v>
      </c>
      <c r="G700" s="69"/>
      <c r="H700" s="70" t="s">
        <v>318</v>
      </c>
      <c r="I700" s="84" t="s">
        <v>634</v>
      </c>
      <c r="J700" s="85" t="s">
        <v>635</v>
      </c>
      <c r="K700" s="133"/>
      <c r="L700" s="133"/>
    </row>
    <row r="701" spans="3:12" hidden="1" x14ac:dyDescent="0.3">
      <c r="C701" s="29"/>
      <c r="D701" s="17"/>
      <c r="E701" s="42"/>
      <c r="F701" s="18">
        <v>0</v>
      </c>
      <c r="G701" s="69"/>
      <c r="H701" s="70"/>
      <c r="I701" s="71"/>
      <c r="J701" s="72"/>
      <c r="K701" s="126"/>
      <c r="L701" s="126"/>
    </row>
    <row r="702" spans="3:12" hidden="1" x14ac:dyDescent="0.3">
      <c r="C702" s="29"/>
      <c r="D702" s="17" t="s">
        <v>239</v>
      </c>
      <c r="E702" s="42" t="s">
        <v>51</v>
      </c>
      <c r="F702" s="18">
        <v>0</v>
      </c>
      <c r="G702" s="69"/>
      <c r="H702" s="70" t="s">
        <v>318</v>
      </c>
      <c r="I702" s="84" t="s">
        <v>636</v>
      </c>
      <c r="J702" s="85" t="s">
        <v>637</v>
      </c>
      <c r="K702" s="133"/>
      <c r="L702" s="133"/>
    </row>
    <row r="703" spans="3:12" hidden="1" x14ac:dyDescent="0.3">
      <c r="C703" s="29"/>
      <c r="D703" s="17"/>
      <c r="E703" s="42"/>
      <c r="F703" s="18">
        <v>0</v>
      </c>
      <c r="G703" s="69"/>
      <c r="H703" s="70"/>
      <c r="I703" s="71"/>
      <c r="J703" s="72"/>
      <c r="K703" s="126"/>
      <c r="L703" s="126"/>
    </row>
    <row r="704" spans="3:12" hidden="1" x14ac:dyDescent="0.3">
      <c r="C704" s="29"/>
      <c r="D704" s="17" t="s">
        <v>240</v>
      </c>
      <c r="E704" s="42" t="s">
        <v>51</v>
      </c>
      <c r="F704" s="18">
        <v>0</v>
      </c>
      <c r="G704" s="69"/>
      <c r="H704" s="70" t="s">
        <v>318</v>
      </c>
      <c r="I704" s="84" t="s">
        <v>638</v>
      </c>
      <c r="J704" s="85" t="s">
        <v>639</v>
      </c>
      <c r="K704" s="133"/>
      <c r="L704" s="133"/>
    </row>
    <row r="705" spans="3:12" hidden="1" x14ac:dyDescent="0.3">
      <c r="C705" s="29"/>
      <c r="D705" s="17"/>
      <c r="E705" s="42"/>
      <c r="F705" s="18">
        <v>0</v>
      </c>
      <c r="G705" s="69"/>
      <c r="H705" s="70"/>
      <c r="I705" s="71"/>
      <c r="J705" s="72"/>
      <c r="K705" s="126"/>
      <c r="L705" s="126"/>
    </row>
    <row r="706" spans="3:12" hidden="1" x14ac:dyDescent="0.3">
      <c r="C706" s="29"/>
      <c r="D706" s="17" t="s">
        <v>241</v>
      </c>
      <c r="E706" s="42" t="s">
        <v>51</v>
      </c>
      <c r="F706" s="18">
        <v>0</v>
      </c>
      <c r="G706" s="69"/>
      <c r="H706" s="70" t="s">
        <v>318</v>
      </c>
      <c r="I706" s="84" t="s">
        <v>640</v>
      </c>
      <c r="J706" s="85" t="s">
        <v>641</v>
      </c>
      <c r="K706" s="133"/>
      <c r="L706" s="133"/>
    </row>
    <row r="707" spans="3:12" hidden="1" x14ac:dyDescent="0.3">
      <c r="C707" s="29"/>
      <c r="D707" s="17"/>
      <c r="E707" s="42"/>
      <c r="F707" s="18">
        <v>0</v>
      </c>
      <c r="G707" s="69"/>
      <c r="H707" s="70"/>
      <c r="I707" s="71"/>
      <c r="J707" s="72"/>
      <c r="K707" s="126"/>
      <c r="L707" s="126"/>
    </row>
    <row r="708" spans="3:12" hidden="1" x14ac:dyDescent="0.3">
      <c r="C708" s="29"/>
      <c r="D708" s="17" t="s">
        <v>242</v>
      </c>
      <c r="E708" s="42" t="s">
        <v>51</v>
      </c>
      <c r="F708" s="18">
        <v>0</v>
      </c>
      <c r="G708" s="69"/>
      <c r="H708" s="70" t="s">
        <v>318</v>
      </c>
      <c r="I708" s="84" t="s">
        <v>642</v>
      </c>
      <c r="J708" s="85" t="s">
        <v>643</v>
      </c>
      <c r="K708" s="133"/>
      <c r="L708" s="133"/>
    </row>
    <row r="709" spans="3:12" hidden="1" x14ac:dyDescent="0.3">
      <c r="C709" s="29"/>
      <c r="D709" s="17"/>
      <c r="E709" s="42"/>
      <c r="F709" s="18">
        <v>0</v>
      </c>
      <c r="G709" s="69"/>
      <c r="H709" s="70"/>
      <c r="I709" s="71"/>
      <c r="J709" s="72"/>
      <c r="K709" s="126"/>
      <c r="L709" s="126"/>
    </row>
    <row r="710" spans="3:12" hidden="1" x14ac:dyDescent="0.3">
      <c r="C710" s="29"/>
      <c r="D710" s="17" t="s">
        <v>243</v>
      </c>
      <c r="E710" s="42" t="s">
        <v>51</v>
      </c>
      <c r="F710" s="18">
        <v>0</v>
      </c>
      <c r="G710" s="69"/>
      <c r="H710" s="70" t="s">
        <v>318</v>
      </c>
      <c r="I710" s="84" t="s">
        <v>644</v>
      </c>
      <c r="J710" s="85" t="s">
        <v>647</v>
      </c>
      <c r="K710" s="133"/>
      <c r="L710" s="133"/>
    </row>
    <row r="711" spans="3:12" hidden="1" x14ac:dyDescent="0.3">
      <c r="C711" s="29"/>
      <c r="D711" s="17"/>
      <c r="E711" s="42"/>
      <c r="F711" s="18">
        <v>0</v>
      </c>
      <c r="G711" s="69"/>
      <c r="H711" s="70"/>
      <c r="I711" s="71"/>
      <c r="J711" s="72"/>
      <c r="K711" s="126"/>
      <c r="L711" s="126"/>
    </row>
    <row r="712" spans="3:12" hidden="1" x14ac:dyDescent="0.3">
      <c r="C712" s="29"/>
      <c r="D712" s="17" t="s">
        <v>244</v>
      </c>
      <c r="E712" s="42" t="s">
        <v>51</v>
      </c>
      <c r="F712" s="18">
        <v>0</v>
      </c>
      <c r="G712" s="69"/>
      <c r="H712" s="70" t="s">
        <v>318</v>
      </c>
      <c r="I712" s="84" t="s">
        <v>645</v>
      </c>
      <c r="J712" s="85" t="s">
        <v>646</v>
      </c>
      <c r="K712" s="133"/>
      <c r="L712" s="133"/>
    </row>
    <row r="713" spans="3:12" hidden="1" x14ac:dyDescent="0.3">
      <c r="C713" s="29"/>
      <c r="D713" s="17"/>
      <c r="E713" s="42"/>
      <c r="F713" s="18">
        <v>0</v>
      </c>
      <c r="G713" s="69"/>
      <c r="H713" s="70"/>
      <c r="I713" s="71"/>
      <c r="J713" s="72"/>
      <c r="K713" s="126"/>
      <c r="L713" s="126"/>
    </row>
    <row r="714" spans="3:12" hidden="1" x14ac:dyDescent="0.3">
      <c r="C714" s="29"/>
      <c r="D714" s="17" t="s">
        <v>245</v>
      </c>
      <c r="E714" s="42" t="s">
        <v>51</v>
      </c>
      <c r="F714" s="18">
        <v>0</v>
      </c>
      <c r="G714" s="69"/>
      <c r="H714" s="70" t="s">
        <v>318</v>
      </c>
      <c r="I714" s="84" t="s">
        <v>648</v>
      </c>
      <c r="J714" s="85" t="s">
        <v>649</v>
      </c>
      <c r="K714" s="133"/>
      <c r="L714" s="133"/>
    </row>
    <row r="715" spans="3:12" hidden="1" x14ac:dyDescent="0.3">
      <c r="C715" s="29"/>
      <c r="D715" s="17"/>
      <c r="E715" s="42"/>
      <c r="F715" s="18">
        <v>0</v>
      </c>
      <c r="G715" s="69"/>
      <c r="H715" s="70"/>
      <c r="I715" s="71"/>
      <c r="J715" s="72"/>
      <c r="K715" s="126"/>
      <c r="L715" s="126"/>
    </row>
    <row r="716" spans="3:12" hidden="1" x14ac:dyDescent="0.3">
      <c r="C716" s="29"/>
      <c r="D716" s="17" t="s">
        <v>246</v>
      </c>
      <c r="E716" s="42" t="s">
        <v>51</v>
      </c>
      <c r="F716" s="18">
        <v>0</v>
      </c>
      <c r="G716" s="69"/>
      <c r="H716" s="70" t="s">
        <v>318</v>
      </c>
      <c r="I716" s="84" t="s">
        <v>650</v>
      </c>
      <c r="J716" s="85" t="s">
        <v>651</v>
      </c>
      <c r="K716" s="133"/>
      <c r="L716" s="133"/>
    </row>
    <row r="717" spans="3:12" hidden="1" x14ac:dyDescent="0.3">
      <c r="C717" s="29"/>
      <c r="D717" s="17"/>
      <c r="E717" s="42"/>
      <c r="F717" s="18">
        <v>0</v>
      </c>
      <c r="G717" s="69"/>
      <c r="H717" s="70"/>
      <c r="I717" s="71"/>
      <c r="J717" s="72"/>
      <c r="K717" s="126"/>
      <c r="L717" s="126"/>
    </row>
    <row r="718" spans="3:12" hidden="1" x14ac:dyDescent="0.3">
      <c r="C718" s="29"/>
      <c r="D718" s="17" t="s">
        <v>247</v>
      </c>
      <c r="E718" s="42" t="s">
        <v>51</v>
      </c>
      <c r="F718" s="18">
        <v>0</v>
      </c>
      <c r="G718" s="69"/>
      <c r="H718" s="70" t="s">
        <v>318</v>
      </c>
      <c r="I718" s="84" t="s">
        <v>652</v>
      </c>
      <c r="J718" s="85" t="s">
        <v>653</v>
      </c>
      <c r="K718" s="133"/>
      <c r="L718" s="133"/>
    </row>
    <row r="719" spans="3:12" hidden="1" x14ac:dyDescent="0.3">
      <c r="C719" s="29"/>
      <c r="D719" s="17"/>
      <c r="E719" s="42"/>
      <c r="F719" s="18">
        <v>0</v>
      </c>
      <c r="G719" s="69"/>
      <c r="H719" s="70"/>
      <c r="I719" s="71"/>
      <c r="J719" s="72"/>
      <c r="K719" s="126"/>
      <c r="L719" s="126"/>
    </row>
    <row r="720" spans="3:12" hidden="1" x14ac:dyDescent="0.3">
      <c r="C720" s="29"/>
      <c r="D720" s="17" t="s">
        <v>248</v>
      </c>
      <c r="E720" s="42" t="s">
        <v>51</v>
      </c>
      <c r="F720" s="18">
        <v>0</v>
      </c>
      <c r="G720" s="69"/>
      <c r="H720" s="70" t="s">
        <v>318</v>
      </c>
      <c r="I720" s="84" t="s">
        <v>654</v>
      </c>
      <c r="J720" s="85" t="s">
        <v>655</v>
      </c>
      <c r="K720" s="133"/>
      <c r="L720" s="133"/>
    </row>
    <row r="721" spans="2:12" hidden="1" x14ac:dyDescent="0.3">
      <c r="C721" s="29"/>
      <c r="D721" s="17"/>
      <c r="E721" s="42"/>
      <c r="F721" s="18">
        <v>0</v>
      </c>
      <c r="G721" s="69"/>
      <c r="H721" s="70"/>
      <c r="I721" s="71"/>
      <c r="J721" s="72"/>
      <c r="K721" s="126"/>
      <c r="L721" s="126"/>
    </row>
    <row r="722" spans="2:12" hidden="1" x14ac:dyDescent="0.3">
      <c r="C722" s="29"/>
      <c r="D722" s="17" t="s">
        <v>249</v>
      </c>
      <c r="E722" s="42" t="s">
        <v>51</v>
      </c>
      <c r="F722" s="18">
        <v>0</v>
      </c>
      <c r="G722" s="69"/>
      <c r="H722" s="70" t="s">
        <v>318</v>
      </c>
      <c r="I722" s="84" t="s">
        <v>656</v>
      </c>
      <c r="J722" s="85" t="s">
        <v>657</v>
      </c>
      <c r="K722" s="133"/>
      <c r="L722" s="133"/>
    </row>
    <row r="723" spans="2:12" hidden="1" x14ac:dyDescent="0.3">
      <c r="C723" s="29"/>
      <c r="D723" s="17"/>
      <c r="E723" s="42"/>
      <c r="F723" s="18">
        <v>0</v>
      </c>
      <c r="G723" s="69"/>
      <c r="H723" s="70"/>
      <c r="I723" s="71"/>
      <c r="J723" s="72"/>
      <c r="K723" s="126"/>
      <c r="L723" s="126"/>
    </row>
    <row r="724" spans="2:12" hidden="1" x14ac:dyDescent="0.3">
      <c r="C724" s="29"/>
      <c r="D724" s="17" t="s">
        <v>250</v>
      </c>
      <c r="E724" s="42" t="s">
        <v>51</v>
      </c>
      <c r="F724" s="18">
        <v>0</v>
      </c>
      <c r="G724" s="69"/>
      <c r="H724" s="70" t="s">
        <v>318</v>
      </c>
      <c r="I724" s="84" t="s">
        <v>658</v>
      </c>
      <c r="J724" s="85" t="s">
        <v>659</v>
      </c>
      <c r="K724" s="133"/>
      <c r="L724" s="133"/>
    </row>
    <row r="725" spans="2:12" hidden="1" x14ac:dyDescent="0.3">
      <c r="C725" s="16"/>
      <c r="D725" s="17"/>
      <c r="E725" s="42"/>
      <c r="F725" s="18">
        <v>0</v>
      </c>
      <c r="G725" s="69"/>
      <c r="H725" s="70"/>
      <c r="I725" s="71"/>
      <c r="J725" s="72"/>
      <c r="K725" s="126"/>
      <c r="L725" s="126"/>
    </row>
    <row r="726" spans="2:12" hidden="1" x14ac:dyDescent="0.3">
      <c r="C726" s="19"/>
      <c r="D726" s="20"/>
      <c r="E726" s="43"/>
      <c r="F726" s="21">
        <v>0</v>
      </c>
      <c r="G726" s="73"/>
      <c r="H726" s="74"/>
      <c r="I726" s="75"/>
      <c r="J726" s="76"/>
      <c r="K726" s="127"/>
      <c r="L726" s="127"/>
    </row>
    <row r="727" spans="2:12" x14ac:dyDescent="0.3">
      <c r="C727" s="22"/>
      <c r="D727" s="23"/>
      <c r="E727" s="45"/>
      <c r="F727" s="24">
        <v>0</v>
      </c>
      <c r="G727" s="77"/>
      <c r="H727" s="78"/>
      <c r="I727" s="79"/>
      <c r="J727" s="80"/>
      <c r="K727" s="128"/>
      <c r="L727" s="128"/>
    </row>
    <row r="728" spans="2:12" x14ac:dyDescent="0.3">
      <c r="C728" s="13"/>
      <c r="D728" s="14" t="s">
        <v>251</v>
      </c>
      <c r="E728" s="41"/>
      <c r="F728" s="15">
        <v>0</v>
      </c>
      <c r="G728" s="69"/>
      <c r="H728" s="70"/>
      <c r="I728" s="71"/>
      <c r="J728" s="72"/>
      <c r="K728" s="126"/>
      <c r="L728" s="126"/>
    </row>
    <row r="729" spans="2:12" x14ac:dyDescent="0.3">
      <c r="C729" s="16"/>
      <c r="D729" s="17"/>
      <c r="E729" s="42"/>
      <c r="F729" s="18">
        <v>0</v>
      </c>
      <c r="G729" s="69"/>
      <c r="H729" s="70"/>
      <c r="I729" s="71"/>
      <c r="J729" s="72"/>
      <c r="K729" s="126"/>
      <c r="L729" s="126"/>
    </row>
    <row r="730" spans="2:12" ht="30.05" x14ac:dyDescent="0.3">
      <c r="C730" s="13"/>
      <c r="D730" s="14" t="s">
        <v>252</v>
      </c>
      <c r="E730" s="41"/>
      <c r="F730" s="15">
        <v>0</v>
      </c>
      <c r="G730" s="69"/>
      <c r="H730" s="70"/>
      <c r="I730" s="71"/>
      <c r="J730" s="72"/>
      <c r="K730" s="126"/>
      <c r="L730" s="126"/>
    </row>
    <row r="731" spans="2:12" x14ac:dyDescent="0.3">
      <c r="C731" s="16"/>
      <c r="D731" s="17"/>
      <c r="E731" s="42"/>
      <c r="F731" s="18">
        <v>0</v>
      </c>
      <c r="G731" s="69"/>
      <c r="H731" s="70"/>
      <c r="I731" s="71"/>
      <c r="J731" s="72"/>
      <c r="K731" s="126"/>
      <c r="L731" s="126"/>
    </row>
    <row r="732" spans="2:12" ht="60.1" x14ac:dyDescent="0.3">
      <c r="C732" s="13"/>
      <c r="D732" s="14" t="s">
        <v>253</v>
      </c>
      <c r="E732" s="41"/>
      <c r="F732" s="15">
        <v>0</v>
      </c>
      <c r="G732" s="69"/>
      <c r="H732" s="70"/>
      <c r="I732" s="71"/>
      <c r="J732" s="72"/>
      <c r="K732" s="126"/>
      <c r="L732" s="126"/>
    </row>
    <row r="733" spans="2:12" x14ac:dyDescent="0.3">
      <c r="C733" s="16"/>
      <c r="D733" s="17"/>
      <c r="E733" s="42"/>
      <c r="F733" s="18">
        <v>0</v>
      </c>
      <c r="G733" s="69"/>
      <c r="H733" s="70"/>
      <c r="I733" s="71"/>
      <c r="J733" s="72"/>
      <c r="K733" s="126"/>
      <c r="L733" s="126"/>
    </row>
    <row r="734" spans="2:12" x14ac:dyDescent="0.3">
      <c r="C734" s="16"/>
      <c r="D734" s="17" t="s">
        <v>254</v>
      </c>
      <c r="E734" s="42" t="s">
        <v>56</v>
      </c>
      <c r="F734" s="18">
        <v>0</v>
      </c>
      <c r="G734" s="69"/>
      <c r="H734" s="93" t="s">
        <v>352</v>
      </c>
      <c r="I734" s="71"/>
      <c r="J734" s="72"/>
      <c r="K734" s="126"/>
      <c r="L734" s="126"/>
    </row>
    <row r="735" spans="2:12" ht="30.05" x14ac:dyDescent="0.3">
      <c r="B735" s="59" t="s">
        <v>21</v>
      </c>
      <c r="C735" s="16"/>
      <c r="D735" s="17" t="s">
        <v>429</v>
      </c>
      <c r="E735" s="42" t="s">
        <v>56</v>
      </c>
      <c r="F735" s="18">
        <v>0</v>
      </c>
      <c r="G735" s="82" t="s">
        <v>297</v>
      </c>
      <c r="H735" s="83" t="s">
        <v>44</v>
      </c>
      <c r="I735" s="84" t="s">
        <v>21</v>
      </c>
      <c r="J735" s="58" t="s">
        <v>430</v>
      </c>
      <c r="K735" s="126">
        <v>95</v>
      </c>
      <c r="L735" s="126">
        <f>K735*F735</f>
        <v>0</v>
      </c>
    </row>
    <row r="736" spans="2:12" hidden="1" x14ac:dyDescent="0.3">
      <c r="B736" s="59" t="s">
        <v>23</v>
      </c>
      <c r="C736" s="16"/>
      <c r="D736" s="17"/>
      <c r="E736" s="42"/>
      <c r="F736" s="18">
        <v>0</v>
      </c>
      <c r="G736" s="82" t="s">
        <v>297</v>
      </c>
      <c r="H736" s="83" t="s">
        <v>44</v>
      </c>
      <c r="I736" s="84" t="s">
        <v>23</v>
      </c>
      <c r="J736" s="58"/>
      <c r="K736" s="129"/>
      <c r="L736" s="129"/>
    </row>
    <row r="737" spans="2:12" hidden="1" x14ac:dyDescent="0.3">
      <c r="B737" s="59" t="s">
        <v>25</v>
      </c>
      <c r="C737" s="16"/>
      <c r="D737" s="17"/>
      <c r="E737" s="42"/>
      <c r="F737" s="18">
        <v>0</v>
      </c>
      <c r="G737" s="82" t="s">
        <v>297</v>
      </c>
      <c r="H737" s="83" t="s">
        <v>306</v>
      </c>
      <c r="I737" s="84" t="s">
        <v>25</v>
      </c>
      <c r="J737" s="58"/>
      <c r="K737" s="129"/>
      <c r="L737" s="129"/>
    </row>
    <row r="738" spans="2:12" hidden="1" x14ac:dyDescent="0.3">
      <c r="C738" s="16"/>
      <c r="D738" s="17"/>
      <c r="E738" s="42"/>
      <c r="F738" s="18">
        <v>0</v>
      </c>
      <c r="G738" s="82" t="s">
        <v>297</v>
      </c>
      <c r="H738" s="83" t="s">
        <v>307</v>
      </c>
      <c r="I738" s="84" t="s">
        <v>431</v>
      </c>
      <c r="J738" s="91"/>
      <c r="K738" s="129"/>
      <c r="L738" s="129"/>
    </row>
    <row r="739" spans="2:12" hidden="1" x14ac:dyDescent="0.3">
      <c r="C739" s="16"/>
      <c r="D739" s="17"/>
      <c r="E739" s="42"/>
      <c r="F739" s="18"/>
      <c r="G739" s="82" t="s">
        <v>432</v>
      </c>
      <c r="H739" s="83" t="s">
        <v>433</v>
      </c>
      <c r="I739" s="84"/>
      <c r="J739" s="91"/>
      <c r="K739" s="129"/>
      <c r="L739" s="129"/>
    </row>
    <row r="740" spans="2:12" hidden="1" x14ac:dyDescent="0.3">
      <c r="C740" s="16"/>
      <c r="D740" s="17"/>
      <c r="E740" s="42"/>
      <c r="F740" s="18"/>
      <c r="G740" s="82"/>
      <c r="H740" s="90" t="s">
        <v>353</v>
      </c>
      <c r="I740" s="84" t="s">
        <v>354</v>
      </c>
      <c r="J740" s="91"/>
      <c r="K740" s="129"/>
      <c r="L740" s="129"/>
    </row>
    <row r="741" spans="2:12" x14ac:dyDescent="0.3">
      <c r="C741" s="16"/>
      <c r="D741" s="17"/>
      <c r="E741" s="42"/>
      <c r="F741" s="18"/>
      <c r="G741" s="69"/>
      <c r="H741" s="70"/>
      <c r="I741" s="71"/>
      <c r="J741" s="72"/>
      <c r="K741" s="126"/>
      <c r="L741" s="126"/>
    </row>
    <row r="742" spans="2:12" ht="60.1" x14ac:dyDescent="0.3">
      <c r="C742" s="13"/>
      <c r="D742" s="14" t="s">
        <v>255</v>
      </c>
      <c r="E742" s="41"/>
      <c r="F742" s="15"/>
      <c r="G742" s="69"/>
      <c r="H742" s="70"/>
      <c r="I742" s="71"/>
      <c r="J742" s="72"/>
      <c r="K742" s="126"/>
      <c r="L742" s="126"/>
    </row>
    <row r="743" spans="2:12" x14ac:dyDescent="0.3">
      <c r="C743" s="16"/>
      <c r="D743" s="17"/>
      <c r="E743" s="42"/>
      <c r="F743" s="18"/>
      <c r="G743" s="69"/>
      <c r="H743" s="70"/>
      <c r="I743" s="71"/>
      <c r="J743" s="72"/>
      <c r="K743" s="126"/>
      <c r="L743" s="126"/>
    </row>
    <row r="744" spans="2:12" x14ac:dyDescent="0.3">
      <c r="C744" s="16"/>
      <c r="D744" s="17" t="s">
        <v>256</v>
      </c>
      <c r="E744" s="42" t="s">
        <v>56</v>
      </c>
      <c r="F744" s="18">
        <f>F387+F317+F326*0.15</f>
        <v>0</v>
      </c>
      <c r="G744" s="69"/>
      <c r="H744" s="93" t="s">
        <v>334</v>
      </c>
      <c r="I744" s="71"/>
      <c r="J744" s="72"/>
      <c r="K744" s="126">
        <v>85</v>
      </c>
      <c r="L744" s="126">
        <f>K744*F744</f>
        <v>0</v>
      </c>
    </row>
    <row r="745" spans="2:12" hidden="1" x14ac:dyDescent="0.3">
      <c r="C745" s="16"/>
      <c r="D745" s="17"/>
      <c r="E745" s="42"/>
      <c r="F745" s="18"/>
      <c r="G745" s="82" t="s">
        <v>315</v>
      </c>
      <c r="H745" s="83" t="s">
        <v>316</v>
      </c>
      <c r="I745" s="84" t="s">
        <v>423</v>
      </c>
      <c r="J745" s="85" t="s">
        <v>427</v>
      </c>
      <c r="K745" s="133"/>
      <c r="L745" s="133"/>
    </row>
    <row r="746" spans="2:12" hidden="1" x14ac:dyDescent="0.3">
      <c r="C746" s="16"/>
      <c r="D746" s="17"/>
      <c r="E746" s="42"/>
      <c r="F746" s="18"/>
      <c r="G746" s="82" t="s">
        <v>315</v>
      </c>
      <c r="H746" s="83" t="s">
        <v>316</v>
      </c>
      <c r="I746" s="84" t="s">
        <v>424</v>
      </c>
      <c r="J746" s="81"/>
      <c r="K746" s="133"/>
      <c r="L746" s="133"/>
    </row>
    <row r="747" spans="2:12" hidden="1" x14ac:dyDescent="0.3">
      <c r="C747" s="16"/>
      <c r="D747" s="17"/>
      <c r="E747" s="42"/>
      <c r="F747" s="18"/>
      <c r="G747" s="82" t="s">
        <v>313</v>
      </c>
      <c r="H747" s="83" t="s">
        <v>312</v>
      </c>
      <c r="I747" s="84" t="s">
        <v>311</v>
      </c>
      <c r="J747" s="72"/>
      <c r="K747" s="133"/>
      <c r="L747" s="133"/>
    </row>
    <row r="748" spans="2:12" hidden="1" x14ac:dyDescent="0.3">
      <c r="C748" s="16"/>
      <c r="D748" s="17"/>
      <c r="E748" s="42"/>
      <c r="F748" s="18"/>
      <c r="G748" s="69"/>
      <c r="H748" s="70"/>
      <c r="I748" s="71"/>
      <c r="J748" s="72"/>
      <c r="K748" s="126"/>
      <c r="L748" s="126"/>
    </row>
    <row r="749" spans="2:12" x14ac:dyDescent="0.3">
      <c r="C749" s="16"/>
      <c r="D749" s="17"/>
      <c r="E749" s="42"/>
      <c r="F749" s="18"/>
      <c r="G749" s="69"/>
      <c r="H749" s="70"/>
      <c r="I749" s="71"/>
      <c r="J749" s="72"/>
      <c r="K749" s="126"/>
      <c r="L749" s="126"/>
    </row>
    <row r="750" spans="2:12" x14ac:dyDescent="0.3">
      <c r="C750" s="13"/>
      <c r="D750" s="14" t="s">
        <v>257</v>
      </c>
      <c r="E750" s="41"/>
      <c r="F750" s="15"/>
      <c r="G750" s="69"/>
      <c r="H750" s="70"/>
      <c r="I750" s="71"/>
      <c r="J750" s="72"/>
      <c r="K750" s="126"/>
      <c r="L750" s="126"/>
    </row>
    <row r="751" spans="2:12" hidden="1" x14ac:dyDescent="0.3">
      <c r="C751" s="16"/>
      <c r="D751" s="17"/>
      <c r="E751" s="42"/>
      <c r="F751" s="18"/>
      <c r="G751" s="69"/>
      <c r="H751" s="70"/>
      <c r="I751" s="71"/>
      <c r="J751" s="72"/>
      <c r="K751" s="126"/>
      <c r="L751" s="126"/>
    </row>
    <row r="752" spans="2:12" ht="60.1" hidden="1" x14ac:dyDescent="0.3">
      <c r="C752" s="13"/>
      <c r="D752" s="14" t="s">
        <v>258</v>
      </c>
      <c r="E752" s="41"/>
      <c r="F752" s="15"/>
      <c r="G752" s="69"/>
      <c r="H752" s="70"/>
      <c r="I752" s="71"/>
      <c r="J752" s="72"/>
      <c r="K752" s="126"/>
      <c r="L752" s="126"/>
    </row>
    <row r="753" spans="3:12" hidden="1" x14ac:dyDescent="0.3">
      <c r="C753" s="16"/>
      <c r="D753" s="17"/>
      <c r="E753" s="42"/>
      <c r="F753" s="18"/>
      <c r="G753" s="69"/>
      <c r="H753" s="70"/>
      <c r="I753" s="71"/>
      <c r="J753" s="72"/>
      <c r="K753" s="126"/>
      <c r="L753" s="126"/>
    </row>
    <row r="754" spans="3:12" ht="30.05" hidden="1" x14ac:dyDescent="0.3">
      <c r="C754" s="16"/>
      <c r="D754" s="17" t="s">
        <v>661</v>
      </c>
      <c r="E754" s="42" t="s">
        <v>56</v>
      </c>
      <c r="F754" s="18"/>
      <c r="G754" s="69"/>
      <c r="H754" s="70" t="s">
        <v>318</v>
      </c>
      <c r="I754" s="71"/>
      <c r="J754" s="72"/>
      <c r="K754" s="126"/>
      <c r="L754" s="126"/>
    </row>
    <row r="755" spans="3:12" hidden="1" x14ac:dyDescent="0.3">
      <c r="C755" s="16"/>
      <c r="D755" s="17"/>
      <c r="E755" s="42"/>
      <c r="F755" s="18"/>
      <c r="G755" s="69"/>
      <c r="H755" s="70"/>
      <c r="I755" s="71"/>
      <c r="J755" s="72"/>
      <c r="K755" s="126"/>
      <c r="L755" s="126"/>
    </row>
    <row r="756" spans="3:12" hidden="1" x14ac:dyDescent="0.3">
      <c r="C756" s="16"/>
      <c r="D756" s="17"/>
      <c r="E756" s="42"/>
      <c r="F756" s="18"/>
      <c r="G756" s="69"/>
      <c r="H756" s="70"/>
      <c r="I756" s="71"/>
      <c r="J756" s="72"/>
      <c r="K756" s="126"/>
      <c r="L756" s="126"/>
    </row>
    <row r="757" spans="3:12" hidden="1" x14ac:dyDescent="0.3">
      <c r="C757" s="13"/>
      <c r="D757" s="14" t="s">
        <v>259</v>
      </c>
      <c r="E757" s="41"/>
      <c r="F757" s="15"/>
      <c r="G757" s="69"/>
      <c r="H757" s="70"/>
      <c r="I757" s="71"/>
      <c r="J757" s="72"/>
      <c r="K757" s="126"/>
      <c r="L757" s="126"/>
    </row>
    <row r="758" spans="3:12" hidden="1" x14ac:dyDescent="0.3">
      <c r="C758" s="16"/>
      <c r="D758" s="17"/>
      <c r="E758" s="42"/>
      <c r="F758" s="18"/>
      <c r="G758" s="69"/>
      <c r="H758" s="70"/>
      <c r="I758" s="71"/>
      <c r="J758" s="72"/>
      <c r="K758" s="126"/>
      <c r="L758" s="126"/>
    </row>
    <row r="759" spans="3:12" ht="45.1" hidden="1" x14ac:dyDescent="0.3">
      <c r="C759" s="13"/>
      <c r="D759" s="14" t="s">
        <v>442</v>
      </c>
      <c r="E759" s="41"/>
      <c r="F759" s="15"/>
      <c r="G759" s="69"/>
      <c r="H759" s="70"/>
      <c r="I759" s="71"/>
      <c r="J759" s="72"/>
      <c r="K759" s="126"/>
      <c r="L759" s="126"/>
    </row>
    <row r="760" spans="3:12" hidden="1" x14ac:dyDescent="0.3">
      <c r="C760" s="16"/>
      <c r="D760" s="17"/>
      <c r="E760" s="42"/>
      <c r="F760" s="18"/>
      <c r="G760" s="69"/>
      <c r="H760" s="70"/>
      <c r="I760" s="71"/>
      <c r="J760" s="72"/>
      <c r="K760" s="126"/>
      <c r="L760" s="126"/>
    </row>
    <row r="761" spans="3:12" ht="30.05" hidden="1" x14ac:dyDescent="0.3">
      <c r="C761" s="16"/>
      <c r="D761" s="17" t="s">
        <v>260</v>
      </c>
      <c r="E761" s="42" t="s">
        <v>90</v>
      </c>
      <c r="F761" s="18">
        <f>F317</f>
        <v>0</v>
      </c>
      <c r="G761" s="69"/>
      <c r="H761" s="93" t="s">
        <v>333</v>
      </c>
      <c r="I761" s="71"/>
      <c r="J761" s="72"/>
      <c r="K761" s="126"/>
      <c r="L761" s="126"/>
    </row>
    <row r="762" spans="3:12" hidden="1" x14ac:dyDescent="0.3">
      <c r="C762" s="16"/>
      <c r="D762" s="17"/>
      <c r="E762" s="42"/>
      <c r="F762" s="18"/>
      <c r="G762" s="69"/>
      <c r="H762" s="70"/>
      <c r="I762" s="71"/>
      <c r="J762" s="72"/>
      <c r="K762" s="126"/>
      <c r="L762" s="126"/>
    </row>
    <row r="763" spans="3:12" hidden="1" x14ac:dyDescent="0.3">
      <c r="C763" s="13"/>
      <c r="D763" s="14" t="s">
        <v>443</v>
      </c>
      <c r="E763" s="41"/>
      <c r="F763" s="15"/>
      <c r="G763" s="69"/>
      <c r="H763" s="70"/>
      <c r="I763" s="71"/>
      <c r="J763" s="72"/>
      <c r="K763" s="126"/>
      <c r="L763" s="126"/>
    </row>
    <row r="764" spans="3:12" hidden="1" x14ac:dyDescent="0.3">
      <c r="C764" s="16"/>
      <c r="D764" s="17"/>
      <c r="E764" s="42"/>
      <c r="F764" s="18"/>
      <c r="G764" s="69"/>
      <c r="H764" s="70"/>
      <c r="I764" s="71"/>
      <c r="J764" s="72"/>
      <c r="K764" s="126"/>
      <c r="L764" s="126"/>
    </row>
    <row r="765" spans="3:12" ht="45.1" hidden="1" x14ac:dyDescent="0.3">
      <c r="C765" s="13"/>
      <c r="D765" s="14" t="s">
        <v>442</v>
      </c>
      <c r="E765" s="41"/>
      <c r="F765" s="15"/>
      <c r="G765" s="69"/>
      <c r="H765" s="70"/>
      <c r="I765" s="71"/>
      <c r="J765" s="72"/>
      <c r="K765" s="126"/>
      <c r="L765" s="126"/>
    </row>
    <row r="766" spans="3:12" hidden="1" x14ac:dyDescent="0.3">
      <c r="C766" s="16"/>
      <c r="D766" s="17"/>
      <c r="E766" s="42"/>
      <c r="F766" s="18"/>
      <c r="G766" s="69"/>
      <c r="H766" s="70"/>
      <c r="I766" s="71"/>
      <c r="J766" s="72"/>
      <c r="K766" s="126"/>
      <c r="L766" s="126"/>
    </row>
    <row r="767" spans="3:12" hidden="1" x14ac:dyDescent="0.3">
      <c r="C767" s="16"/>
      <c r="D767" s="17" t="s">
        <v>444</v>
      </c>
      <c r="E767" s="42" t="s">
        <v>90</v>
      </c>
      <c r="F767" s="18">
        <f>F321</f>
        <v>0</v>
      </c>
      <c r="G767" s="82"/>
      <c r="H767" s="82" t="s">
        <v>307</v>
      </c>
      <c r="I767" s="84" t="s">
        <v>445</v>
      </c>
      <c r="J767" s="85" t="s">
        <v>446</v>
      </c>
      <c r="K767" s="133"/>
      <c r="L767" s="133"/>
    </row>
    <row r="768" spans="3:12" hidden="1" x14ac:dyDescent="0.3">
      <c r="C768" s="16"/>
      <c r="D768" s="17"/>
      <c r="E768" s="42"/>
      <c r="F768" s="18"/>
      <c r="G768" s="69"/>
      <c r="H768" s="82" t="s">
        <v>307</v>
      </c>
      <c r="I768" s="84" t="s">
        <v>445</v>
      </c>
      <c r="J768" s="95" t="s">
        <v>447</v>
      </c>
      <c r="K768" s="133"/>
      <c r="L768" s="133"/>
    </row>
    <row r="769" spans="3:12" hidden="1" x14ac:dyDescent="0.3">
      <c r="C769" s="16"/>
      <c r="D769" s="17"/>
      <c r="E769" s="42"/>
      <c r="F769" s="18"/>
      <c r="G769" s="69"/>
      <c r="H769" s="70"/>
      <c r="I769" s="71"/>
      <c r="J769" s="95" t="s">
        <v>448</v>
      </c>
      <c r="K769" s="126"/>
      <c r="L769" s="126"/>
    </row>
    <row r="770" spans="3:12" hidden="1" x14ac:dyDescent="0.3">
      <c r="C770" s="13"/>
      <c r="D770" s="14" t="s">
        <v>261</v>
      </c>
      <c r="E770" s="41"/>
      <c r="F770" s="15"/>
      <c r="G770" s="69"/>
      <c r="H770" s="70"/>
      <c r="I770" s="71"/>
      <c r="J770" s="95" t="s">
        <v>449</v>
      </c>
      <c r="K770" s="126"/>
      <c r="L770" s="126"/>
    </row>
    <row r="771" spans="3:12" hidden="1" x14ac:dyDescent="0.3">
      <c r="C771" s="16"/>
      <c r="D771" s="17"/>
      <c r="E771" s="42"/>
      <c r="F771" s="18"/>
      <c r="G771" s="69"/>
      <c r="H771" s="70"/>
      <c r="I771" s="71"/>
      <c r="J771" s="95" t="s">
        <v>660</v>
      </c>
      <c r="K771" s="126"/>
      <c r="L771" s="126"/>
    </row>
    <row r="772" spans="3:12" ht="60.1" hidden="1" x14ac:dyDescent="0.3">
      <c r="C772" s="13"/>
      <c r="D772" s="14" t="s">
        <v>258</v>
      </c>
      <c r="E772" s="41"/>
      <c r="F772" s="15"/>
      <c r="G772" s="69"/>
      <c r="H772" s="70"/>
      <c r="I772" s="71"/>
      <c r="J772" s="72"/>
      <c r="K772" s="126"/>
      <c r="L772" s="126"/>
    </row>
    <row r="773" spans="3:12" hidden="1" x14ac:dyDescent="0.3">
      <c r="C773" s="16"/>
      <c r="D773" s="17"/>
      <c r="E773" s="42"/>
      <c r="F773" s="18"/>
      <c r="G773" s="69"/>
      <c r="H773" s="70"/>
      <c r="I773" s="71"/>
      <c r="J773" s="72"/>
      <c r="K773" s="126"/>
      <c r="L773" s="126"/>
    </row>
    <row r="774" spans="3:12" ht="30.05" hidden="1" x14ac:dyDescent="0.3">
      <c r="C774" s="16"/>
      <c r="D774" s="17" t="s">
        <v>661</v>
      </c>
      <c r="E774" s="42" t="s">
        <v>56</v>
      </c>
      <c r="F774" s="18"/>
      <c r="G774" s="69"/>
      <c r="H774" s="70" t="s">
        <v>318</v>
      </c>
      <c r="I774" s="71"/>
      <c r="J774" s="81"/>
      <c r="K774" s="126"/>
      <c r="L774" s="126"/>
    </row>
    <row r="775" spans="3:12" x14ac:dyDescent="0.3">
      <c r="C775" s="19"/>
      <c r="D775" s="20"/>
      <c r="E775" s="43"/>
      <c r="F775" s="21"/>
      <c r="G775" s="73"/>
      <c r="H775" s="74"/>
      <c r="I775" s="75"/>
      <c r="J775" s="76"/>
      <c r="K775" s="127"/>
      <c r="L775" s="127"/>
    </row>
    <row r="776" spans="3:12" hidden="1" x14ac:dyDescent="0.3">
      <c r="C776" s="22"/>
      <c r="D776" s="23"/>
      <c r="E776" s="45"/>
      <c r="F776" s="24"/>
      <c r="G776" s="77"/>
      <c r="H776" s="78"/>
      <c r="I776" s="79"/>
      <c r="J776" s="80"/>
      <c r="K776" s="128"/>
      <c r="L776" s="128"/>
    </row>
    <row r="777" spans="3:12" ht="18.2" hidden="1" x14ac:dyDescent="0.3">
      <c r="C777" s="13"/>
      <c r="D777" s="14" t="s">
        <v>262</v>
      </c>
      <c r="E777" s="41"/>
      <c r="F777" s="15"/>
      <c r="G777" s="69"/>
      <c r="H777" s="96" t="s">
        <v>332</v>
      </c>
      <c r="I777" s="71"/>
      <c r="J777" s="72"/>
      <c r="K777" s="126"/>
      <c r="L777" s="126"/>
    </row>
    <row r="778" spans="3:12" hidden="1" x14ac:dyDescent="0.3">
      <c r="C778" s="16"/>
      <c r="D778" s="17"/>
      <c r="E778" s="42"/>
      <c r="F778" s="18"/>
      <c r="G778" s="69"/>
      <c r="H778" s="70"/>
      <c r="I778" s="71"/>
      <c r="J778" s="72"/>
      <c r="K778" s="126"/>
      <c r="L778" s="126"/>
    </row>
    <row r="779" spans="3:12" ht="30.05" hidden="1" x14ac:dyDescent="0.3">
      <c r="C779" s="13"/>
      <c r="D779" s="14" t="s">
        <v>263</v>
      </c>
      <c r="E779" s="41"/>
      <c r="F779" s="15"/>
      <c r="G779" s="69"/>
      <c r="H779" s="70"/>
      <c r="I779" s="71"/>
      <c r="J779" s="72"/>
      <c r="K779" s="126"/>
      <c r="L779" s="126"/>
    </row>
    <row r="780" spans="3:12" hidden="1" x14ac:dyDescent="0.3">
      <c r="C780" s="16"/>
      <c r="D780" s="17"/>
      <c r="E780" s="42"/>
      <c r="F780" s="18"/>
      <c r="G780" s="69"/>
      <c r="H780" s="70"/>
      <c r="I780" s="71"/>
      <c r="J780" s="72"/>
      <c r="K780" s="126"/>
      <c r="L780" s="126"/>
    </row>
    <row r="781" spans="3:12" hidden="1" x14ac:dyDescent="0.3">
      <c r="C781" s="13"/>
      <c r="D781" s="14" t="s">
        <v>264</v>
      </c>
      <c r="E781" s="41"/>
      <c r="F781" s="15"/>
      <c r="G781" s="69"/>
      <c r="H781" s="70"/>
      <c r="I781" s="71"/>
      <c r="J781" s="72"/>
      <c r="K781" s="126"/>
      <c r="L781" s="126"/>
    </row>
    <row r="782" spans="3:12" hidden="1" x14ac:dyDescent="0.3">
      <c r="C782" s="16"/>
      <c r="D782" s="17"/>
      <c r="E782" s="42"/>
      <c r="F782" s="18"/>
      <c r="G782" s="69"/>
      <c r="H782" s="70"/>
      <c r="I782" s="71"/>
      <c r="J782" s="72"/>
      <c r="K782" s="126"/>
      <c r="L782" s="126"/>
    </row>
    <row r="783" spans="3:12" ht="30.05" hidden="1" x14ac:dyDescent="0.3">
      <c r="C783" s="16"/>
      <c r="D783" s="17" t="s">
        <v>265</v>
      </c>
      <c r="E783" s="42" t="s">
        <v>90</v>
      </c>
      <c r="F783" s="18">
        <f>2.6+2.75+2.6+1.5+3.5</f>
        <v>12.95</v>
      </c>
      <c r="G783" s="69"/>
      <c r="H783" s="70" t="s">
        <v>318</v>
      </c>
      <c r="I783" s="71"/>
      <c r="J783" s="81"/>
      <c r="K783" s="126"/>
      <c r="L783" s="126"/>
    </row>
    <row r="784" spans="3:12" hidden="1" x14ac:dyDescent="0.3">
      <c r="C784" s="16"/>
      <c r="D784" s="17"/>
      <c r="E784" s="42"/>
      <c r="F784" s="18"/>
      <c r="G784" s="69"/>
      <c r="H784" s="70"/>
      <c r="I784" s="71"/>
      <c r="J784" s="72"/>
      <c r="K784" s="126"/>
      <c r="L784" s="126"/>
    </row>
    <row r="785" spans="3:12" hidden="1" x14ac:dyDescent="0.3">
      <c r="C785" s="16"/>
      <c r="D785" s="17" t="s">
        <v>266</v>
      </c>
      <c r="E785" s="42" t="s">
        <v>47</v>
      </c>
      <c r="F785" s="18">
        <v>1</v>
      </c>
      <c r="G785" s="69"/>
      <c r="H785" s="70" t="s">
        <v>318</v>
      </c>
      <c r="I785" s="71"/>
      <c r="J785" s="81"/>
      <c r="K785" s="126"/>
      <c r="L785" s="126"/>
    </row>
    <row r="786" spans="3:12" hidden="1" x14ac:dyDescent="0.3">
      <c r="C786" s="16"/>
      <c r="D786" s="17"/>
      <c r="E786" s="42"/>
      <c r="F786" s="18"/>
      <c r="G786" s="69"/>
      <c r="H786" s="70"/>
      <c r="I786" s="71"/>
      <c r="J786" s="72"/>
      <c r="K786" s="126"/>
      <c r="L786" s="126"/>
    </row>
    <row r="787" spans="3:12" hidden="1" x14ac:dyDescent="0.3">
      <c r="C787" s="13"/>
      <c r="D787" s="14" t="s">
        <v>267</v>
      </c>
      <c r="E787" s="41"/>
      <c r="F787" s="15"/>
      <c r="G787" s="69"/>
      <c r="H787" s="70"/>
      <c r="I787" s="71"/>
      <c r="J787" s="72"/>
      <c r="K787" s="126"/>
      <c r="L787" s="126"/>
    </row>
    <row r="788" spans="3:12" hidden="1" x14ac:dyDescent="0.3">
      <c r="C788" s="16"/>
      <c r="D788" s="17"/>
      <c r="E788" s="42"/>
      <c r="F788" s="18"/>
      <c r="G788" s="69"/>
      <c r="H788" s="70"/>
      <c r="I788" s="71"/>
      <c r="J788" s="72"/>
      <c r="K788" s="126"/>
      <c r="L788" s="126"/>
    </row>
    <row r="789" spans="3:12" ht="30.05" hidden="1" x14ac:dyDescent="0.3">
      <c r="C789" s="16"/>
      <c r="D789" s="17" t="s">
        <v>268</v>
      </c>
      <c r="E789" s="42" t="s">
        <v>17</v>
      </c>
      <c r="F789" s="18">
        <v>23.562999999999999</v>
      </c>
      <c r="G789" s="69"/>
      <c r="H789" s="70" t="s">
        <v>318</v>
      </c>
      <c r="I789" s="71"/>
      <c r="J789" s="81"/>
      <c r="K789" s="126"/>
      <c r="L789" s="126"/>
    </row>
    <row r="790" spans="3:12" hidden="1" x14ac:dyDescent="0.3">
      <c r="C790" s="16"/>
      <c r="D790" s="17"/>
      <c r="E790" s="42"/>
      <c r="F790" s="18"/>
      <c r="G790" s="69"/>
      <c r="H790" s="70"/>
      <c r="I790" s="71"/>
      <c r="J790" s="72"/>
      <c r="K790" s="126"/>
      <c r="L790" s="126"/>
    </row>
    <row r="791" spans="3:12" hidden="1" x14ac:dyDescent="0.3">
      <c r="C791" s="16"/>
      <c r="D791" s="17" t="s">
        <v>266</v>
      </c>
      <c r="E791" s="42" t="s">
        <v>47</v>
      </c>
      <c r="F791" s="18">
        <v>1</v>
      </c>
      <c r="G791" s="69"/>
      <c r="H791" s="70" t="s">
        <v>318</v>
      </c>
      <c r="I791" s="71"/>
      <c r="J791" s="81"/>
      <c r="K791" s="126"/>
      <c r="L791" s="126"/>
    </row>
    <row r="792" spans="3:12" hidden="1" x14ac:dyDescent="0.3">
      <c r="C792" s="16"/>
      <c r="D792" s="17"/>
      <c r="E792" s="42"/>
      <c r="F792" s="18"/>
      <c r="G792" s="69"/>
      <c r="H792" s="70"/>
      <c r="I792" s="71"/>
      <c r="J792" s="72"/>
      <c r="K792" s="126"/>
      <c r="L792" s="126"/>
    </row>
    <row r="793" spans="3:12" hidden="1" x14ac:dyDescent="0.3">
      <c r="C793" s="13"/>
      <c r="D793" s="14" t="s">
        <v>269</v>
      </c>
      <c r="E793" s="41"/>
      <c r="F793" s="15"/>
      <c r="G793" s="69"/>
      <c r="H793" s="70"/>
      <c r="I793" s="71"/>
      <c r="J793" s="72"/>
      <c r="K793" s="126"/>
      <c r="L793" s="126"/>
    </row>
    <row r="794" spans="3:12" hidden="1" x14ac:dyDescent="0.3">
      <c r="C794" s="16"/>
      <c r="D794" s="17"/>
      <c r="E794" s="42"/>
      <c r="F794" s="18"/>
      <c r="G794" s="69"/>
      <c r="H794" s="70"/>
      <c r="I794" s="71"/>
      <c r="J794" s="72"/>
      <c r="K794" s="126"/>
      <c r="L794" s="126"/>
    </row>
    <row r="795" spans="3:12" ht="30.05" hidden="1" x14ac:dyDescent="0.3">
      <c r="C795" s="16"/>
      <c r="D795" s="17" t="s">
        <v>270</v>
      </c>
      <c r="E795" s="42" t="s">
        <v>90</v>
      </c>
      <c r="F795" s="18">
        <v>20.751999999999999</v>
      </c>
      <c r="G795" s="69"/>
      <c r="H795" s="70" t="s">
        <v>318</v>
      </c>
      <c r="I795" s="71"/>
      <c r="J795" s="81"/>
      <c r="K795" s="126"/>
      <c r="L795" s="126"/>
    </row>
    <row r="796" spans="3:12" hidden="1" x14ac:dyDescent="0.3">
      <c r="C796" s="16"/>
      <c r="D796" s="17"/>
      <c r="E796" s="42"/>
      <c r="F796" s="18"/>
      <c r="G796" s="69"/>
      <c r="H796" s="70"/>
      <c r="I796" s="71"/>
      <c r="J796" s="72"/>
      <c r="K796" s="126"/>
      <c r="L796" s="126"/>
    </row>
    <row r="797" spans="3:12" hidden="1" x14ac:dyDescent="0.3">
      <c r="C797" s="16"/>
      <c r="D797" s="17" t="s">
        <v>266</v>
      </c>
      <c r="E797" s="42" t="s">
        <v>47</v>
      </c>
      <c r="F797" s="18">
        <v>1</v>
      </c>
      <c r="G797" s="69"/>
      <c r="H797" s="70" t="s">
        <v>318</v>
      </c>
      <c r="I797" s="71"/>
      <c r="J797" s="81"/>
      <c r="K797" s="126"/>
      <c r="L797" s="126"/>
    </row>
    <row r="798" spans="3:12" hidden="1" x14ac:dyDescent="0.3">
      <c r="C798" s="16"/>
      <c r="D798" s="17"/>
      <c r="E798" s="42"/>
      <c r="F798" s="18"/>
      <c r="G798" s="69"/>
      <c r="H798" s="70"/>
      <c r="I798" s="71"/>
      <c r="J798" s="72"/>
      <c r="K798" s="126"/>
      <c r="L798" s="126"/>
    </row>
    <row r="799" spans="3:12" hidden="1" x14ac:dyDescent="0.3">
      <c r="C799" s="13"/>
      <c r="D799" s="14" t="s">
        <v>271</v>
      </c>
      <c r="E799" s="41"/>
      <c r="F799" s="15"/>
      <c r="G799" s="69"/>
      <c r="H799" s="70"/>
      <c r="I799" s="71"/>
      <c r="J799" s="72"/>
      <c r="K799" s="126"/>
      <c r="L799" s="126"/>
    </row>
    <row r="800" spans="3:12" hidden="1" x14ac:dyDescent="0.3">
      <c r="C800" s="16"/>
      <c r="D800" s="17"/>
      <c r="E800" s="42"/>
      <c r="F800" s="18"/>
      <c r="G800" s="69"/>
      <c r="H800" s="70"/>
      <c r="I800" s="71"/>
      <c r="J800" s="72"/>
      <c r="K800" s="126"/>
      <c r="L800" s="126"/>
    </row>
    <row r="801" spans="3:12" ht="30.05" hidden="1" x14ac:dyDescent="0.3">
      <c r="C801" s="16"/>
      <c r="D801" s="17" t="s">
        <v>272</v>
      </c>
      <c r="E801" s="42" t="s">
        <v>47</v>
      </c>
      <c r="F801" s="18">
        <v>1</v>
      </c>
      <c r="G801" s="69"/>
      <c r="H801" s="70" t="s">
        <v>318</v>
      </c>
      <c r="I801" s="71"/>
      <c r="J801" s="81"/>
      <c r="K801" s="126"/>
      <c r="L801" s="126"/>
    </row>
    <row r="802" spans="3:12" hidden="1" x14ac:dyDescent="0.3">
      <c r="C802" s="16"/>
      <c r="D802" s="17"/>
      <c r="E802" s="42"/>
      <c r="F802" s="18"/>
      <c r="G802" s="69"/>
      <c r="H802" s="70"/>
      <c r="I802" s="71"/>
      <c r="J802" s="72"/>
      <c r="K802" s="126"/>
      <c r="L802" s="126"/>
    </row>
    <row r="803" spans="3:12" hidden="1" x14ac:dyDescent="0.3">
      <c r="C803" s="16"/>
      <c r="D803" s="17" t="s">
        <v>266</v>
      </c>
      <c r="E803" s="42" t="s">
        <v>47</v>
      </c>
      <c r="F803" s="18">
        <v>1</v>
      </c>
      <c r="G803" s="69"/>
      <c r="H803" s="70" t="s">
        <v>318</v>
      </c>
      <c r="I803" s="71"/>
      <c r="J803" s="81"/>
      <c r="K803" s="126"/>
      <c r="L803" s="126"/>
    </row>
    <row r="804" spans="3:12" hidden="1" x14ac:dyDescent="0.3">
      <c r="C804" s="16"/>
      <c r="D804" s="17"/>
      <c r="E804" s="42"/>
      <c r="F804" s="18"/>
      <c r="G804" s="69"/>
      <c r="H804" s="70"/>
      <c r="I804" s="71"/>
      <c r="J804" s="72"/>
      <c r="K804" s="126"/>
      <c r="L804" s="126"/>
    </row>
    <row r="805" spans="3:12" hidden="1" x14ac:dyDescent="0.3">
      <c r="C805" s="13"/>
      <c r="D805" s="14" t="s">
        <v>273</v>
      </c>
      <c r="E805" s="41"/>
      <c r="F805" s="15"/>
      <c r="G805" s="69"/>
      <c r="H805" s="70"/>
      <c r="I805" s="71"/>
      <c r="J805" s="72"/>
      <c r="K805" s="126"/>
      <c r="L805" s="126"/>
    </row>
    <row r="806" spans="3:12" hidden="1" x14ac:dyDescent="0.3">
      <c r="C806" s="16"/>
      <c r="D806" s="17"/>
      <c r="E806" s="42"/>
      <c r="F806" s="18"/>
      <c r="G806" s="69"/>
      <c r="H806" s="70"/>
      <c r="I806" s="71"/>
      <c r="J806" s="72"/>
      <c r="K806" s="126"/>
      <c r="L806" s="126"/>
    </row>
    <row r="807" spans="3:12" hidden="1" x14ac:dyDescent="0.3">
      <c r="C807" s="13"/>
      <c r="D807" s="14" t="s">
        <v>274</v>
      </c>
      <c r="E807" s="41"/>
      <c r="F807" s="15"/>
      <c r="G807" s="69"/>
      <c r="H807" s="70"/>
      <c r="I807" s="71"/>
      <c r="J807" s="72"/>
      <c r="K807" s="126"/>
      <c r="L807" s="126"/>
    </row>
    <row r="808" spans="3:12" hidden="1" x14ac:dyDescent="0.3">
      <c r="C808" s="16"/>
      <c r="D808" s="17"/>
      <c r="E808" s="42"/>
      <c r="F808" s="18"/>
      <c r="G808" s="69"/>
      <c r="H808" s="70"/>
      <c r="I808" s="71"/>
      <c r="J808" s="72"/>
      <c r="K808" s="126"/>
      <c r="L808" s="126"/>
    </row>
    <row r="809" spans="3:12" ht="60.1" hidden="1" x14ac:dyDescent="0.3">
      <c r="C809" s="16"/>
      <c r="D809" s="17" t="s">
        <v>275</v>
      </c>
      <c r="E809" s="42" t="s">
        <v>56</v>
      </c>
      <c r="F809" s="18" t="e">
        <f>(F423+#REF!)*1.1</f>
        <v>#REF!</v>
      </c>
      <c r="G809" s="69"/>
      <c r="H809" s="70" t="s">
        <v>318</v>
      </c>
      <c r="I809" s="71"/>
      <c r="J809" s="81"/>
      <c r="K809" s="126"/>
      <c r="L809" s="126"/>
    </row>
    <row r="810" spans="3:12" hidden="1" x14ac:dyDescent="0.3">
      <c r="C810" s="16"/>
      <c r="D810" s="17"/>
      <c r="E810" s="42"/>
      <c r="F810" s="18"/>
      <c r="G810" s="69"/>
      <c r="H810" s="70"/>
      <c r="I810" s="71"/>
      <c r="J810" s="72"/>
      <c r="K810" s="126"/>
      <c r="L810" s="126"/>
    </row>
    <row r="811" spans="3:12" hidden="1" x14ac:dyDescent="0.3">
      <c r="C811" s="16"/>
      <c r="D811" s="17" t="s">
        <v>266</v>
      </c>
      <c r="E811" s="42" t="s">
        <v>47</v>
      </c>
      <c r="F811" s="18">
        <v>1</v>
      </c>
      <c r="G811" s="69"/>
      <c r="H811" s="70" t="s">
        <v>318</v>
      </c>
      <c r="I811" s="71"/>
      <c r="J811" s="81"/>
      <c r="K811" s="126"/>
      <c r="L811" s="126"/>
    </row>
    <row r="812" spans="3:12" hidden="1" x14ac:dyDescent="0.3">
      <c r="C812" s="16"/>
      <c r="D812" s="17"/>
      <c r="E812" s="42"/>
      <c r="F812" s="18"/>
      <c r="G812" s="69"/>
      <c r="H812" s="70"/>
      <c r="I812" s="71"/>
      <c r="J812" s="72"/>
      <c r="K812" s="126"/>
      <c r="L812" s="126"/>
    </row>
    <row r="813" spans="3:12" hidden="1" x14ac:dyDescent="0.3">
      <c r="C813" s="13"/>
      <c r="D813" s="14" t="s">
        <v>276</v>
      </c>
      <c r="E813" s="41"/>
      <c r="F813" s="15"/>
      <c r="G813" s="69"/>
      <c r="H813" s="70"/>
      <c r="I813" s="71"/>
      <c r="J813" s="72"/>
      <c r="K813" s="126"/>
      <c r="L813" s="126"/>
    </row>
    <row r="814" spans="3:12" hidden="1" x14ac:dyDescent="0.3">
      <c r="C814" s="16"/>
      <c r="D814" s="17"/>
      <c r="E814" s="42"/>
      <c r="F814" s="18"/>
      <c r="G814" s="69"/>
      <c r="H814" s="70"/>
      <c r="I814" s="71"/>
      <c r="J814" s="72"/>
      <c r="K814" s="126"/>
      <c r="L814" s="126"/>
    </row>
    <row r="815" spans="3:12" ht="60.1" hidden="1" x14ac:dyDescent="0.3">
      <c r="C815" s="16"/>
      <c r="D815" s="17" t="s">
        <v>277</v>
      </c>
      <c r="E815" s="42" t="s">
        <v>56</v>
      </c>
      <c r="F815" s="18"/>
      <c r="G815" s="69"/>
      <c r="H815" s="70" t="s">
        <v>318</v>
      </c>
      <c r="I815" s="71"/>
      <c r="J815" s="81"/>
      <c r="K815" s="126"/>
      <c r="L815" s="126"/>
    </row>
    <row r="816" spans="3:12" hidden="1" x14ac:dyDescent="0.3">
      <c r="C816" s="16"/>
      <c r="D816" s="17"/>
      <c r="E816" s="42"/>
      <c r="F816" s="18"/>
      <c r="G816" s="69"/>
      <c r="H816" s="70"/>
      <c r="I816" s="71"/>
      <c r="J816" s="72"/>
      <c r="K816" s="126"/>
      <c r="L816" s="126"/>
    </row>
    <row r="817" spans="3:12" hidden="1" x14ac:dyDescent="0.3">
      <c r="C817" s="16"/>
      <c r="D817" s="17" t="s">
        <v>266</v>
      </c>
      <c r="E817" s="42" t="s">
        <v>47</v>
      </c>
      <c r="F817" s="18">
        <v>1</v>
      </c>
      <c r="G817" s="69"/>
      <c r="H817" s="70" t="s">
        <v>318</v>
      </c>
      <c r="I817" s="71"/>
      <c r="J817" s="81"/>
      <c r="K817" s="126"/>
      <c r="L817" s="126"/>
    </row>
    <row r="818" spans="3:12" hidden="1" x14ac:dyDescent="0.3">
      <c r="C818" s="16"/>
      <c r="D818" s="17"/>
      <c r="E818" s="42"/>
      <c r="F818" s="18"/>
      <c r="G818" s="69"/>
      <c r="H818" s="70"/>
      <c r="I818" s="71"/>
      <c r="J818" s="72"/>
      <c r="K818" s="126"/>
      <c r="L818" s="126"/>
    </row>
    <row r="819" spans="3:12" hidden="1" x14ac:dyDescent="0.3">
      <c r="C819" s="13"/>
      <c r="D819" s="14" t="s">
        <v>278</v>
      </c>
      <c r="E819" s="41"/>
      <c r="F819" s="15"/>
      <c r="G819" s="69"/>
      <c r="H819" s="70"/>
      <c r="I819" s="71"/>
      <c r="J819" s="72"/>
      <c r="K819" s="126"/>
      <c r="L819" s="126"/>
    </row>
    <row r="820" spans="3:12" hidden="1" x14ac:dyDescent="0.3">
      <c r="C820" s="16"/>
      <c r="D820" s="17"/>
      <c r="E820" s="42"/>
      <c r="F820" s="18"/>
      <c r="G820" s="69"/>
      <c r="H820" s="70"/>
      <c r="I820" s="71"/>
      <c r="J820" s="72"/>
      <c r="K820" s="126"/>
      <c r="L820" s="126"/>
    </row>
    <row r="821" spans="3:12" ht="60.1" hidden="1" x14ac:dyDescent="0.3">
      <c r="C821" s="16"/>
      <c r="D821" s="17" t="s">
        <v>279</v>
      </c>
      <c r="E821" s="42" t="s">
        <v>56</v>
      </c>
      <c r="F821" s="18"/>
      <c r="G821" s="69"/>
      <c r="H821" s="70" t="s">
        <v>318</v>
      </c>
      <c r="I821" s="71"/>
      <c r="J821" s="81"/>
      <c r="K821" s="126"/>
      <c r="L821" s="126"/>
    </row>
    <row r="822" spans="3:12" hidden="1" x14ac:dyDescent="0.3">
      <c r="C822" s="16"/>
      <c r="D822" s="17"/>
      <c r="E822" s="42"/>
      <c r="F822" s="18"/>
      <c r="G822" s="69"/>
      <c r="H822" s="70"/>
      <c r="I822" s="71"/>
      <c r="J822" s="72"/>
      <c r="K822" s="126"/>
      <c r="L822" s="126"/>
    </row>
    <row r="823" spans="3:12" hidden="1" x14ac:dyDescent="0.3">
      <c r="C823" s="16"/>
      <c r="D823" s="17" t="s">
        <v>266</v>
      </c>
      <c r="E823" s="42" t="s">
        <v>47</v>
      </c>
      <c r="F823" s="18">
        <v>1</v>
      </c>
      <c r="G823" s="69"/>
      <c r="H823" s="70" t="s">
        <v>318</v>
      </c>
      <c r="I823" s="71"/>
      <c r="J823" s="81"/>
      <c r="K823" s="126"/>
      <c r="L823" s="126"/>
    </row>
    <row r="824" spans="3:12" hidden="1" x14ac:dyDescent="0.3">
      <c r="C824" s="16"/>
      <c r="D824" s="17"/>
      <c r="E824" s="42"/>
      <c r="F824" s="18"/>
      <c r="G824" s="69"/>
      <c r="H824" s="70"/>
      <c r="I824" s="71"/>
      <c r="J824" s="72"/>
      <c r="K824" s="126"/>
      <c r="L824" s="126"/>
    </row>
    <row r="825" spans="3:12" hidden="1" x14ac:dyDescent="0.3">
      <c r="C825" s="13"/>
      <c r="D825" s="14" t="s">
        <v>280</v>
      </c>
      <c r="E825" s="41"/>
      <c r="F825" s="15"/>
      <c r="G825" s="69"/>
      <c r="H825" s="70"/>
      <c r="I825" s="71"/>
      <c r="J825" s="72"/>
      <c r="K825" s="126"/>
      <c r="L825" s="126"/>
    </row>
    <row r="826" spans="3:12" hidden="1" x14ac:dyDescent="0.3">
      <c r="C826" s="16"/>
      <c r="D826" s="17"/>
      <c r="E826" s="42"/>
      <c r="F826" s="18"/>
      <c r="G826" s="69"/>
      <c r="H826" s="70"/>
      <c r="I826" s="71"/>
      <c r="J826" s="72"/>
      <c r="K826" s="126"/>
      <c r="L826" s="126"/>
    </row>
    <row r="827" spans="3:12" ht="45.1" hidden="1" x14ac:dyDescent="0.3">
      <c r="C827" s="16"/>
      <c r="D827" s="17" t="s">
        <v>281</v>
      </c>
      <c r="E827" s="42" t="s">
        <v>51</v>
      </c>
      <c r="F827" s="18">
        <v>1</v>
      </c>
      <c r="G827" s="69"/>
      <c r="H827" s="70" t="s">
        <v>318</v>
      </c>
      <c r="I827" s="71"/>
      <c r="J827" s="81"/>
      <c r="K827" s="126"/>
      <c r="L827" s="126"/>
    </row>
    <row r="828" spans="3:12" hidden="1" x14ac:dyDescent="0.3">
      <c r="C828" s="16"/>
      <c r="D828" s="17"/>
      <c r="E828" s="42"/>
      <c r="F828" s="18"/>
      <c r="G828" s="69"/>
      <c r="H828" s="70"/>
      <c r="I828" s="71"/>
      <c r="J828" s="72"/>
      <c r="K828" s="126"/>
      <c r="L828" s="126"/>
    </row>
    <row r="829" spans="3:12" hidden="1" x14ac:dyDescent="0.3">
      <c r="C829" s="16"/>
      <c r="D829" s="17" t="s">
        <v>266</v>
      </c>
      <c r="E829" s="42" t="s">
        <v>47</v>
      </c>
      <c r="F829" s="18">
        <v>1</v>
      </c>
      <c r="G829" s="69"/>
      <c r="H829" s="70" t="s">
        <v>318</v>
      </c>
      <c r="I829" s="71"/>
      <c r="J829" s="81"/>
      <c r="K829" s="126"/>
      <c r="L829" s="126"/>
    </row>
    <row r="830" spans="3:12" hidden="1" x14ac:dyDescent="0.3">
      <c r="C830" s="16"/>
      <c r="D830" s="17"/>
      <c r="E830" s="42"/>
      <c r="F830" s="18"/>
      <c r="G830" s="69"/>
      <c r="H830" s="70"/>
      <c r="I830" s="71"/>
      <c r="J830" s="72"/>
      <c r="K830" s="126"/>
      <c r="L830" s="126"/>
    </row>
    <row r="831" spans="3:12" ht="30.05" hidden="1" x14ac:dyDescent="0.3">
      <c r="C831" s="13"/>
      <c r="D831" s="14" t="s">
        <v>282</v>
      </c>
      <c r="E831" s="41"/>
      <c r="F831" s="15"/>
      <c r="G831" s="69"/>
      <c r="H831" s="70"/>
      <c r="I831" s="71"/>
      <c r="J831" s="72"/>
      <c r="K831" s="126"/>
      <c r="L831" s="126"/>
    </row>
    <row r="832" spans="3:12" hidden="1" x14ac:dyDescent="0.3">
      <c r="C832" s="16"/>
      <c r="D832" s="17"/>
      <c r="E832" s="42"/>
      <c r="F832" s="18"/>
      <c r="G832" s="69"/>
      <c r="H832" s="70"/>
      <c r="I832" s="71"/>
      <c r="J832" s="72"/>
      <c r="K832" s="126"/>
      <c r="L832" s="126"/>
    </row>
    <row r="833" spans="3:12" ht="60.1" hidden="1" x14ac:dyDescent="0.3">
      <c r="C833" s="16"/>
      <c r="D833" s="17" t="s">
        <v>283</v>
      </c>
      <c r="E833" s="42" t="s">
        <v>47</v>
      </c>
      <c r="F833" s="18">
        <v>1</v>
      </c>
      <c r="G833" s="69"/>
      <c r="H833" s="70" t="s">
        <v>318</v>
      </c>
      <c r="I833" s="71"/>
      <c r="J833" s="81"/>
      <c r="K833" s="126"/>
      <c r="L833" s="126"/>
    </row>
    <row r="834" spans="3:12" hidden="1" x14ac:dyDescent="0.3">
      <c r="C834" s="16"/>
      <c r="D834" s="17"/>
      <c r="E834" s="42"/>
      <c r="F834" s="18"/>
      <c r="G834" s="69"/>
      <c r="H834" s="70"/>
      <c r="I834" s="71"/>
      <c r="J834" s="72"/>
      <c r="K834" s="126"/>
      <c r="L834" s="126"/>
    </row>
    <row r="835" spans="3:12" hidden="1" x14ac:dyDescent="0.3">
      <c r="C835" s="16"/>
      <c r="D835" s="17" t="s">
        <v>266</v>
      </c>
      <c r="E835" s="42" t="s">
        <v>47</v>
      </c>
      <c r="F835" s="18">
        <v>1</v>
      </c>
      <c r="G835" s="69"/>
      <c r="H835" s="70" t="s">
        <v>318</v>
      </c>
      <c r="I835" s="71"/>
      <c r="J835" s="81"/>
      <c r="K835" s="126"/>
      <c r="L835" s="126"/>
    </row>
    <row r="836" spans="3:12" hidden="1" x14ac:dyDescent="0.3">
      <c r="C836" s="16"/>
      <c r="D836" s="17"/>
      <c r="E836" s="42"/>
      <c r="F836" s="18"/>
      <c r="G836" s="69"/>
      <c r="H836" s="70"/>
      <c r="I836" s="71"/>
      <c r="J836" s="72"/>
      <c r="K836" s="126"/>
      <c r="L836" s="126"/>
    </row>
    <row r="837" spans="3:12" ht="30.05" hidden="1" x14ac:dyDescent="0.3">
      <c r="C837" s="13"/>
      <c r="D837" s="14" t="s">
        <v>284</v>
      </c>
      <c r="E837" s="41"/>
      <c r="F837" s="15"/>
      <c r="G837" s="69"/>
      <c r="H837" s="70"/>
      <c r="I837" s="71"/>
      <c r="J837" s="72"/>
      <c r="K837" s="126"/>
      <c r="L837" s="126"/>
    </row>
    <row r="838" spans="3:12" hidden="1" x14ac:dyDescent="0.3">
      <c r="C838" s="16"/>
      <c r="D838" s="17"/>
      <c r="E838" s="42"/>
      <c r="F838" s="18"/>
      <c r="G838" s="69"/>
      <c r="H838" s="70"/>
      <c r="I838" s="71"/>
      <c r="J838" s="72"/>
      <c r="K838" s="126"/>
      <c r="L838" s="126"/>
    </row>
    <row r="839" spans="3:12" ht="60.1" hidden="1" x14ac:dyDescent="0.3">
      <c r="C839" s="16"/>
      <c r="D839" s="17" t="s">
        <v>285</v>
      </c>
      <c r="E839" s="42" t="s">
        <v>47</v>
      </c>
      <c r="F839" s="18">
        <v>1</v>
      </c>
      <c r="G839" s="69"/>
      <c r="H839" s="70" t="s">
        <v>318</v>
      </c>
      <c r="I839" s="71"/>
      <c r="J839" s="81"/>
      <c r="K839" s="126"/>
      <c r="L839" s="126"/>
    </row>
    <row r="840" spans="3:12" hidden="1" x14ac:dyDescent="0.3">
      <c r="C840" s="16"/>
      <c r="D840" s="17"/>
      <c r="E840" s="42"/>
      <c r="F840" s="18"/>
      <c r="G840" s="69"/>
      <c r="H840" s="70"/>
      <c r="I840" s="71"/>
      <c r="J840" s="72"/>
      <c r="K840" s="126"/>
      <c r="L840" s="126"/>
    </row>
    <row r="841" spans="3:12" hidden="1" x14ac:dyDescent="0.3">
      <c r="C841" s="16"/>
      <c r="D841" s="17" t="s">
        <v>266</v>
      </c>
      <c r="E841" s="42" t="s">
        <v>47</v>
      </c>
      <c r="F841" s="18">
        <v>1</v>
      </c>
      <c r="G841" s="69"/>
      <c r="H841" s="70" t="s">
        <v>318</v>
      </c>
      <c r="I841" s="71"/>
      <c r="J841" s="81"/>
      <c r="K841" s="126"/>
      <c r="L841" s="126"/>
    </row>
    <row r="842" spans="3:12" hidden="1" x14ac:dyDescent="0.3">
      <c r="C842" s="16"/>
      <c r="D842" s="17"/>
      <c r="E842" s="42"/>
      <c r="F842" s="18"/>
      <c r="G842" s="69"/>
      <c r="H842" s="70"/>
      <c r="I842" s="71"/>
      <c r="J842" s="72"/>
      <c r="K842" s="126"/>
      <c r="L842" s="126"/>
    </row>
    <row r="843" spans="3:12" hidden="1" x14ac:dyDescent="0.3">
      <c r="C843" s="13"/>
      <c r="D843" s="14" t="s">
        <v>286</v>
      </c>
      <c r="E843" s="41"/>
      <c r="F843" s="15"/>
      <c r="G843" s="69"/>
      <c r="H843" s="70"/>
      <c r="I843" s="71"/>
      <c r="J843" s="72"/>
      <c r="K843" s="126"/>
      <c r="L843" s="126"/>
    </row>
    <row r="844" spans="3:12" hidden="1" x14ac:dyDescent="0.3">
      <c r="C844" s="16"/>
      <c r="D844" s="17"/>
      <c r="E844" s="42"/>
      <c r="F844" s="18"/>
      <c r="G844" s="69"/>
      <c r="H844" s="70"/>
      <c r="I844" s="71"/>
      <c r="J844" s="72"/>
      <c r="K844" s="126"/>
      <c r="L844" s="126"/>
    </row>
    <row r="845" spans="3:12" ht="45.1" hidden="1" x14ac:dyDescent="0.3">
      <c r="C845" s="16"/>
      <c r="D845" s="17" t="s">
        <v>287</v>
      </c>
      <c r="E845" s="42" t="s">
        <v>51</v>
      </c>
      <c r="F845" s="18">
        <v>1</v>
      </c>
      <c r="G845" s="69"/>
      <c r="H845" s="70" t="s">
        <v>318</v>
      </c>
      <c r="I845" s="71"/>
      <c r="J845" s="81"/>
      <c r="K845" s="126"/>
      <c r="L845" s="126"/>
    </row>
    <row r="846" spans="3:12" hidden="1" x14ac:dyDescent="0.3">
      <c r="C846" s="16"/>
      <c r="D846" s="17"/>
      <c r="E846" s="42"/>
      <c r="F846" s="18"/>
      <c r="G846" s="69"/>
      <c r="H846" s="70"/>
      <c r="I846" s="71"/>
      <c r="J846" s="72"/>
      <c r="K846" s="126"/>
      <c r="L846" s="126"/>
    </row>
    <row r="847" spans="3:12" hidden="1" x14ac:dyDescent="0.3">
      <c r="C847" s="16"/>
      <c r="D847" s="17" t="s">
        <v>266</v>
      </c>
      <c r="E847" s="42" t="s">
        <v>47</v>
      </c>
      <c r="F847" s="18">
        <v>1</v>
      </c>
      <c r="G847" s="69"/>
      <c r="H847" s="70" t="s">
        <v>318</v>
      </c>
      <c r="I847" s="71"/>
      <c r="J847" s="81"/>
      <c r="K847" s="126"/>
      <c r="L847" s="126"/>
    </row>
    <row r="848" spans="3:12" hidden="1" x14ac:dyDescent="0.3">
      <c r="C848" s="16"/>
      <c r="D848" s="17"/>
      <c r="E848" s="42"/>
      <c r="F848" s="18"/>
      <c r="G848" s="69"/>
      <c r="H848" s="70"/>
      <c r="I848" s="71"/>
      <c r="J848" s="72"/>
      <c r="K848" s="126"/>
      <c r="L848" s="126"/>
    </row>
    <row r="849" spans="3:12" hidden="1" x14ac:dyDescent="0.3">
      <c r="C849" s="13"/>
      <c r="D849" s="14" t="s">
        <v>288</v>
      </c>
      <c r="E849" s="41"/>
      <c r="F849" s="15"/>
      <c r="G849" s="69"/>
      <c r="H849" s="70"/>
      <c r="I849" s="71"/>
      <c r="J849" s="72"/>
      <c r="K849" s="126"/>
      <c r="L849" s="126"/>
    </row>
    <row r="850" spans="3:12" hidden="1" x14ac:dyDescent="0.3">
      <c r="C850" s="16"/>
      <c r="D850" s="17"/>
      <c r="E850" s="42"/>
      <c r="F850" s="18"/>
      <c r="G850" s="69"/>
      <c r="H850" s="70"/>
      <c r="I850" s="71"/>
      <c r="J850" s="72"/>
      <c r="K850" s="126"/>
      <c r="L850" s="126"/>
    </row>
    <row r="851" spans="3:12" ht="45.1" hidden="1" x14ac:dyDescent="0.3">
      <c r="C851" s="16"/>
      <c r="D851" s="17" t="s">
        <v>289</v>
      </c>
      <c r="E851" s="42" t="s">
        <v>47</v>
      </c>
      <c r="F851" s="18">
        <v>1</v>
      </c>
      <c r="G851" s="69"/>
      <c r="H851" s="70" t="s">
        <v>318</v>
      </c>
      <c r="I851" s="71"/>
      <c r="J851" s="81"/>
      <c r="K851" s="126"/>
      <c r="L851" s="126"/>
    </row>
    <row r="852" spans="3:12" hidden="1" x14ac:dyDescent="0.3">
      <c r="C852" s="16"/>
      <c r="D852" s="17"/>
      <c r="E852" s="42"/>
      <c r="F852" s="18"/>
      <c r="G852" s="69"/>
      <c r="H852" s="70"/>
      <c r="I852" s="71"/>
      <c r="J852" s="72"/>
      <c r="K852" s="126"/>
      <c r="L852" s="126"/>
    </row>
    <row r="853" spans="3:12" hidden="1" x14ac:dyDescent="0.3">
      <c r="C853" s="19"/>
      <c r="D853" s="20" t="s">
        <v>266</v>
      </c>
      <c r="E853" s="43" t="s">
        <v>47</v>
      </c>
      <c r="F853" s="21">
        <v>1</v>
      </c>
      <c r="G853" s="73"/>
      <c r="H853" s="74" t="s">
        <v>318</v>
      </c>
      <c r="I853" s="75"/>
      <c r="J853" s="97"/>
      <c r="K853" s="127"/>
      <c r="L853" s="127"/>
    </row>
    <row r="855" spans="3:12" x14ac:dyDescent="0.3">
      <c r="K855" s="137" t="s">
        <v>696</v>
      </c>
      <c r="L855" s="136">
        <f>SUM(L14:L854)</f>
        <v>0</v>
      </c>
    </row>
    <row r="856" spans="3:12" x14ac:dyDescent="0.3">
      <c r="K856" s="138"/>
    </row>
    <row r="857" spans="3:12" x14ac:dyDescent="0.3">
      <c r="K857" s="138" t="s">
        <v>697</v>
      </c>
      <c r="L857" s="123">
        <f>L855*0.15</f>
        <v>0</v>
      </c>
    </row>
    <row r="858" spans="3:12" x14ac:dyDescent="0.3">
      <c r="K858" s="138"/>
    </row>
    <row r="859" spans="3:12" ht="15.65" thickBot="1" x14ac:dyDescent="0.35">
      <c r="K859" s="137" t="s">
        <v>698</v>
      </c>
      <c r="L859" s="139">
        <f>L857+L855</f>
        <v>0</v>
      </c>
    </row>
    <row r="860" spans="3:12" ht="15.65" thickTop="1" x14ac:dyDescent="0.3"/>
  </sheetData>
  <sheetProtection selectLockedCells="1"/>
  <mergeCells count="1">
    <mergeCell ref="C1:D1"/>
  </mergeCells>
  <phoneticPr fontId="5" type="noConversion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db73767-66be-4002-80c5-54453c7bf381" xsi:nil="true"/>
    <lcf76f155ced4ddcb4097134ff3c332f xmlns="b6e2da63-e24d-43e3-84a7-848398047c5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482D86F21B02E4F80AFF2A731E5838F" ma:contentTypeVersion="13" ma:contentTypeDescription="Create a new document." ma:contentTypeScope="" ma:versionID="c8aef535286b0db739bf5383d7ef84c0">
  <xsd:schema xmlns:xsd="http://www.w3.org/2001/XMLSchema" xmlns:xs="http://www.w3.org/2001/XMLSchema" xmlns:p="http://schemas.microsoft.com/office/2006/metadata/properties" xmlns:ns2="b6e2da63-e24d-43e3-84a7-848398047c58" xmlns:ns3="3db73767-66be-4002-80c5-54453c7bf381" targetNamespace="http://schemas.microsoft.com/office/2006/metadata/properties" ma:root="true" ma:fieldsID="9a723f0772689ea89a5cd638ff89155e" ns2:_="" ns3:_="">
    <xsd:import namespace="b6e2da63-e24d-43e3-84a7-848398047c58"/>
    <xsd:import namespace="3db73767-66be-4002-80c5-54453c7bf381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e2da63-e24d-43e3-84a7-848398047c58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2869536b-aeae-4620-8b4e-2fcecaff650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b73767-66be-4002-80c5-54453c7bf381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8cbb0dc1-cf6e-434f-8e8b-405afd60d66c}" ma:internalName="TaxCatchAll" ma:showField="CatchAllData" ma:web="3db73767-66be-4002-80c5-54453c7bf38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53842A-CDDC-43E1-ABB0-63F717930192}">
  <ds:schemaRefs>
    <ds:schemaRef ds:uri="http://schemas.microsoft.com/office/2006/metadata/properties"/>
    <ds:schemaRef ds:uri="http://schemas.microsoft.com/office/infopath/2007/PartnerControls"/>
    <ds:schemaRef ds:uri="3db73767-66be-4002-80c5-54453c7bf381"/>
    <ds:schemaRef ds:uri="b6e2da63-e24d-43e3-84a7-848398047c58"/>
  </ds:schemaRefs>
</ds:datastoreItem>
</file>

<file path=customXml/itemProps2.xml><?xml version="1.0" encoding="utf-8"?>
<ds:datastoreItem xmlns:ds="http://schemas.openxmlformats.org/officeDocument/2006/customXml" ds:itemID="{9D6640A2-68E3-4BBF-9F20-78D5986EEB9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8246738-62E9-4A2A-BDDB-C3354A8A78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e2da63-e24d-43e3-84a7-848398047c58"/>
    <ds:schemaRef ds:uri="3db73767-66be-4002-80c5-54453c7bf38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210</vt:i4>
      </vt:variant>
    </vt:vector>
  </HeadingPairs>
  <TitlesOfParts>
    <vt:vector size="218" baseType="lpstr">
      <vt:lpstr>Client Information</vt:lpstr>
      <vt:lpstr>Raw Import</vt:lpstr>
      <vt:lpstr>BoQ Codes</vt:lpstr>
      <vt:lpstr>Find Value</vt:lpstr>
      <vt:lpstr>SHEET 9</vt:lpstr>
      <vt:lpstr>SHEET 10</vt:lpstr>
      <vt:lpstr>User Interface</vt:lpstr>
      <vt:lpstr>Final BoQ</vt:lpstr>
      <vt:lpstr>'Final BoQ'!ClientPanelData</vt:lpstr>
      <vt:lpstr>'Find Value'!ClientPanelData</vt:lpstr>
      <vt:lpstr>'SHEET 10'!ClientPanelData</vt:lpstr>
      <vt:lpstr>'SHEET 9'!ClientPanelData</vt:lpstr>
      <vt:lpstr>'User Interface'!ClientPanelData</vt:lpstr>
      <vt:lpstr>ClientPanelData</vt:lpstr>
      <vt:lpstr>'Raw Import'!ExternalData_1</vt:lpstr>
      <vt:lpstr>'Raw Import'!ExternalData_10</vt:lpstr>
      <vt:lpstr>'Raw Import'!ExternalData_100</vt:lpstr>
      <vt:lpstr>'Raw Import'!ExternalData_101</vt:lpstr>
      <vt:lpstr>'Raw Import'!ExternalData_102</vt:lpstr>
      <vt:lpstr>'Raw Import'!ExternalData_103</vt:lpstr>
      <vt:lpstr>'Raw Import'!ExternalData_104</vt:lpstr>
      <vt:lpstr>'Raw Import'!ExternalData_105</vt:lpstr>
      <vt:lpstr>'Raw Import'!ExternalData_106</vt:lpstr>
      <vt:lpstr>'Raw Import'!ExternalData_107</vt:lpstr>
      <vt:lpstr>'Raw Import'!ExternalData_108</vt:lpstr>
      <vt:lpstr>'Raw Import'!ExternalData_109</vt:lpstr>
      <vt:lpstr>'Raw Import'!ExternalData_11</vt:lpstr>
      <vt:lpstr>'Raw Import'!ExternalData_110</vt:lpstr>
      <vt:lpstr>'Raw Import'!ExternalData_111</vt:lpstr>
      <vt:lpstr>'Raw Import'!ExternalData_112</vt:lpstr>
      <vt:lpstr>'Raw Import'!ExternalData_113</vt:lpstr>
      <vt:lpstr>'Raw Import'!ExternalData_114</vt:lpstr>
      <vt:lpstr>'Raw Import'!ExternalData_115</vt:lpstr>
      <vt:lpstr>'Raw Import'!ExternalData_116</vt:lpstr>
      <vt:lpstr>'Raw Import'!ExternalData_117</vt:lpstr>
      <vt:lpstr>'Raw Import'!ExternalData_118</vt:lpstr>
      <vt:lpstr>'Raw Import'!ExternalData_119</vt:lpstr>
      <vt:lpstr>'Raw Import'!ExternalData_12</vt:lpstr>
      <vt:lpstr>'Raw Import'!ExternalData_120</vt:lpstr>
      <vt:lpstr>'Raw Import'!ExternalData_121</vt:lpstr>
      <vt:lpstr>'Raw Import'!ExternalData_122</vt:lpstr>
      <vt:lpstr>'Raw Import'!ExternalData_123</vt:lpstr>
      <vt:lpstr>'Raw Import'!ExternalData_124</vt:lpstr>
      <vt:lpstr>'Raw Import'!ExternalData_125</vt:lpstr>
      <vt:lpstr>'Raw Import'!ExternalData_126</vt:lpstr>
      <vt:lpstr>'Raw Import'!ExternalData_127</vt:lpstr>
      <vt:lpstr>'Raw Import'!ExternalData_128</vt:lpstr>
      <vt:lpstr>'Raw Import'!ExternalData_129</vt:lpstr>
      <vt:lpstr>'Raw Import'!ExternalData_13</vt:lpstr>
      <vt:lpstr>'Raw Import'!ExternalData_130</vt:lpstr>
      <vt:lpstr>'Raw Import'!ExternalData_131</vt:lpstr>
      <vt:lpstr>'Raw Import'!ExternalData_132</vt:lpstr>
      <vt:lpstr>'Raw Import'!ExternalData_133</vt:lpstr>
      <vt:lpstr>'Raw Import'!ExternalData_134</vt:lpstr>
      <vt:lpstr>'Raw Import'!ExternalData_135</vt:lpstr>
      <vt:lpstr>'Raw Import'!ExternalData_136</vt:lpstr>
      <vt:lpstr>'Raw Import'!ExternalData_137</vt:lpstr>
      <vt:lpstr>'Raw Import'!ExternalData_138</vt:lpstr>
      <vt:lpstr>'Raw Import'!ExternalData_139</vt:lpstr>
      <vt:lpstr>'Raw Import'!ExternalData_14</vt:lpstr>
      <vt:lpstr>'Raw Import'!ExternalData_140</vt:lpstr>
      <vt:lpstr>'Raw Import'!ExternalData_141</vt:lpstr>
      <vt:lpstr>'Raw Import'!ExternalData_142</vt:lpstr>
      <vt:lpstr>'Raw Import'!ExternalData_143</vt:lpstr>
      <vt:lpstr>'Raw Import'!ExternalData_144</vt:lpstr>
      <vt:lpstr>'Raw Import'!ExternalData_145</vt:lpstr>
      <vt:lpstr>'Raw Import'!ExternalData_146</vt:lpstr>
      <vt:lpstr>'Raw Import'!ExternalData_147</vt:lpstr>
      <vt:lpstr>'Raw Import'!ExternalData_148</vt:lpstr>
      <vt:lpstr>'Raw Import'!ExternalData_149</vt:lpstr>
      <vt:lpstr>'Raw Import'!ExternalData_15</vt:lpstr>
      <vt:lpstr>'Raw Import'!ExternalData_150</vt:lpstr>
      <vt:lpstr>'Raw Import'!ExternalData_151</vt:lpstr>
      <vt:lpstr>'Raw Import'!ExternalData_152</vt:lpstr>
      <vt:lpstr>'Raw Import'!ExternalData_153</vt:lpstr>
      <vt:lpstr>'Raw Import'!ExternalData_154</vt:lpstr>
      <vt:lpstr>'Raw Import'!ExternalData_155</vt:lpstr>
      <vt:lpstr>'Raw Import'!ExternalData_156</vt:lpstr>
      <vt:lpstr>'Raw Import'!ExternalData_157</vt:lpstr>
      <vt:lpstr>'Raw Import'!ExternalData_158</vt:lpstr>
      <vt:lpstr>'Raw Import'!ExternalData_159</vt:lpstr>
      <vt:lpstr>'Raw Import'!ExternalData_16</vt:lpstr>
      <vt:lpstr>'Raw Import'!ExternalData_160</vt:lpstr>
      <vt:lpstr>'Raw Import'!ExternalData_161</vt:lpstr>
      <vt:lpstr>'Raw Import'!ExternalData_162</vt:lpstr>
      <vt:lpstr>'Raw Import'!ExternalData_163</vt:lpstr>
      <vt:lpstr>'Raw Import'!ExternalData_164</vt:lpstr>
      <vt:lpstr>'Raw Import'!ExternalData_165</vt:lpstr>
      <vt:lpstr>'Raw Import'!ExternalData_166</vt:lpstr>
      <vt:lpstr>'Raw Import'!ExternalData_167</vt:lpstr>
      <vt:lpstr>'Raw Import'!ExternalData_168</vt:lpstr>
      <vt:lpstr>'Raw Import'!ExternalData_169</vt:lpstr>
      <vt:lpstr>'Raw Import'!ExternalData_17</vt:lpstr>
      <vt:lpstr>'Raw Import'!ExternalData_170</vt:lpstr>
      <vt:lpstr>'Raw Import'!ExternalData_171</vt:lpstr>
      <vt:lpstr>'Raw Import'!ExternalData_172</vt:lpstr>
      <vt:lpstr>'Raw Import'!ExternalData_173</vt:lpstr>
      <vt:lpstr>'Raw Import'!ExternalData_174</vt:lpstr>
      <vt:lpstr>'Raw Import'!ExternalData_175</vt:lpstr>
      <vt:lpstr>'Raw Import'!ExternalData_176</vt:lpstr>
      <vt:lpstr>'Raw Import'!ExternalData_177</vt:lpstr>
      <vt:lpstr>'Raw Import'!ExternalData_178</vt:lpstr>
      <vt:lpstr>'Raw Import'!ExternalData_179</vt:lpstr>
      <vt:lpstr>'Raw Import'!ExternalData_18</vt:lpstr>
      <vt:lpstr>'Raw Import'!ExternalData_180</vt:lpstr>
      <vt:lpstr>'Raw Import'!ExternalData_181</vt:lpstr>
      <vt:lpstr>'Raw Import'!ExternalData_182</vt:lpstr>
      <vt:lpstr>'Raw Import'!ExternalData_183</vt:lpstr>
      <vt:lpstr>'Raw Import'!ExternalData_184</vt:lpstr>
      <vt:lpstr>'Raw Import'!ExternalData_185</vt:lpstr>
      <vt:lpstr>'Raw Import'!ExternalData_186</vt:lpstr>
      <vt:lpstr>'Raw Import'!ExternalData_187</vt:lpstr>
      <vt:lpstr>'Raw Import'!ExternalData_188</vt:lpstr>
      <vt:lpstr>'Raw Import'!ExternalData_189</vt:lpstr>
      <vt:lpstr>'Raw Import'!ExternalData_19</vt:lpstr>
      <vt:lpstr>'Raw Import'!ExternalData_190</vt:lpstr>
      <vt:lpstr>'Raw Import'!ExternalData_191</vt:lpstr>
      <vt:lpstr>'Raw Import'!ExternalData_192</vt:lpstr>
      <vt:lpstr>'Raw Import'!ExternalData_193</vt:lpstr>
      <vt:lpstr>'Raw Import'!ExternalData_194</vt:lpstr>
      <vt:lpstr>'Raw Import'!ExternalData_195</vt:lpstr>
      <vt:lpstr>'Raw Import'!ExternalData_196</vt:lpstr>
      <vt:lpstr>'Raw Import'!ExternalData_197</vt:lpstr>
      <vt:lpstr>'Raw Import'!ExternalData_198</vt:lpstr>
      <vt:lpstr>'Raw Import'!ExternalData_199</vt:lpstr>
      <vt:lpstr>'Raw Import'!ExternalData_2</vt:lpstr>
      <vt:lpstr>'Raw Import'!ExternalData_20</vt:lpstr>
      <vt:lpstr>'Raw Import'!ExternalData_21</vt:lpstr>
      <vt:lpstr>'Raw Import'!ExternalData_22</vt:lpstr>
      <vt:lpstr>'Raw Import'!ExternalData_23</vt:lpstr>
      <vt:lpstr>'Raw Import'!ExternalData_24</vt:lpstr>
      <vt:lpstr>'Raw Import'!ExternalData_25</vt:lpstr>
      <vt:lpstr>'Raw Import'!ExternalData_26</vt:lpstr>
      <vt:lpstr>'Raw Import'!ExternalData_27</vt:lpstr>
      <vt:lpstr>'Raw Import'!ExternalData_28</vt:lpstr>
      <vt:lpstr>'Raw Import'!ExternalData_29</vt:lpstr>
      <vt:lpstr>'Raw Import'!ExternalData_3</vt:lpstr>
      <vt:lpstr>'Raw Import'!ExternalData_30</vt:lpstr>
      <vt:lpstr>'Raw Import'!ExternalData_31</vt:lpstr>
      <vt:lpstr>'Raw Import'!ExternalData_32</vt:lpstr>
      <vt:lpstr>'Raw Import'!ExternalData_33</vt:lpstr>
      <vt:lpstr>'Raw Import'!ExternalData_34</vt:lpstr>
      <vt:lpstr>'Raw Import'!ExternalData_35</vt:lpstr>
      <vt:lpstr>'Raw Import'!ExternalData_36</vt:lpstr>
      <vt:lpstr>'Raw Import'!ExternalData_37</vt:lpstr>
      <vt:lpstr>'Raw Import'!ExternalData_38</vt:lpstr>
      <vt:lpstr>'Raw Import'!ExternalData_39</vt:lpstr>
      <vt:lpstr>'Raw Import'!ExternalData_4</vt:lpstr>
      <vt:lpstr>'Raw Import'!ExternalData_40</vt:lpstr>
      <vt:lpstr>'Raw Import'!ExternalData_41</vt:lpstr>
      <vt:lpstr>'Raw Import'!ExternalData_42</vt:lpstr>
      <vt:lpstr>'Raw Import'!ExternalData_43</vt:lpstr>
      <vt:lpstr>'Raw Import'!ExternalData_44</vt:lpstr>
      <vt:lpstr>'Raw Import'!ExternalData_45</vt:lpstr>
      <vt:lpstr>'Raw Import'!ExternalData_46</vt:lpstr>
      <vt:lpstr>'Raw Import'!ExternalData_47</vt:lpstr>
      <vt:lpstr>'Raw Import'!ExternalData_48</vt:lpstr>
      <vt:lpstr>'Raw Import'!ExternalData_49</vt:lpstr>
      <vt:lpstr>'Raw Import'!ExternalData_5</vt:lpstr>
      <vt:lpstr>'Raw Import'!ExternalData_50</vt:lpstr>
      <vt:lpstr>'Raw Import'!ExternalData_51</vt:lpstr>
      <vt:lpstr>'Raw Import'!ExternalData_52</vt:lpstr>
      <vt:lpstr>'Raw Import'!ExternalData_53</vt:lpstr>
      <vt:lpstr>'Raw Import'!ExternalData_54</vt:lpstr>
      <vt:lpstr>'Raw Import'!ExternalData_55</vt:lpstr>
      <vt:lpstr>'Raw Import'!ExternalData_56</vt:lpstr>
      <vt:lpstr>'Raw Import'!ExternalData_57</vt:lpstr>
      <vt:lpstr>'Raw Import'!ExternalData_58</vt:lpstr>
      <vt:lpstr>'Raw Import'!ExternalData_59</vt:lpstr>
      <vt:lpstr>'Raw Import'!ExternalData_6</vt:lpstr>
      <vt:lpstr>'Raw Import'!ExternalData_60</vt:lpstr>
      <vt:lpstr>'Raw Import'!ExternalData_61</vt:lpstr>
      <vt:lpstr>'Raw Import'!ExternalData_62</vt:lpstr>
      <vt:lpstr>'Raw Import'!ExternalData_63</vt:lpstr>
      <vt:lpstr>'Raw Import'!ExternalData_64</vt:lpstr>
      <vt:lpstr>'Raw Import'!ExternalData_65</vt:lpstr>
      <vt:lpstr>'Raw Import'!ExternalData_66</vt:lpstr>
      <vt:lpstr>'Raw Import'!ExternalData_67</vt:lpstr>
      <vt:lpstr>'Raw Import'!ExternalData_68</vt:lpstr>
      <vt:lpstr>'Raw Import'!ExternalData_69</vt:lpstr>
      <vt:lpstr>'Raw Import'!ExternalData_7</vt:lpstr>
      <vt:lpstr>'Raw Import'!ExternalData_70</vt:lpstr>
      <vt:lpstr>'Raw Import'!ExternalData_71</vt:lpstr>
      <vt:lpstr>'Raw Import'!ExternalData_72</vt:lpstr>
      <vt:lpstr>'Raw Import'!ExternalData_73</vt:lpstr>
      <vt:lpstr>'Raw Import'!ExternalData_74</vt:lpstr>
      <vt:lpstr>'Raw Import'!ExternalData_75</vt:lpstr>
      <vt:lpstr>'Raw Import'!ExternalData_76</vt:lpstr>
      <vt:lpstr>'Raw Import'!ExternalData_77</vt:lpstr>
      <vt:lpstr>'Raw Import'!ExternalData_78</vt:lpstr>
      <vt:lpstr>'Raw Import'!ExternalData_79</vt:lpstr>
      <vt:lpstr>'Raw Import'!ExternalData_8</vt:lpstr>
      <vt:lpstr>'Raw Import'!ExternalData_80</vt:lpstr>
      <vt:lpstr>'Raw Import'!ExternalData_81</vt:lpstr>
      <vt:lpstr>'Raw Import'!ExternalData_82</vt:lpstr>
      <vt:lpstr>'Raw Import'!ExternalData_83</vt:lpstr>
      <vt:lpstr>'Raw Import'!ExternalData_84</vt:lpstr>
      <vt:lpstr>'Raw Import'!ExternalData_85</vt:lpstr>
      <vt:lpstr>'Raw Import'!ExternalData_86</vt:lpstr>
      <vt:lpstr>'Raw Import'!ExternalData_87</vt:lpstr>
      <vt:lpstr>'Raw Import'!ExternalData_88</vt:lpstr>
      <vt:lpstr>'Raw Import'!ExternalData_89</vt:lpstr>
      <vt:lpstr>'Raw Import'!ExternalData_9</vt:lpstr>
      <vt:lpstr>'Raw Import'!ExternalData_90</vt:lpstr>
      <vt:lpstr>'Raw Import'!ExternalData_91</vt:lpstr>
      <vt:lpstr>'Raw Import'!ExternalData_92</vt:lpstr>
      <vt:lpstr>'Raw Import'!ExternalData_93</vt:lpstr>
      <vt:lpstr>'Raw Import'!ExternalData_94</vt:lpstr>
      <vt:lpstr>'Raw Import'!ExternalData_95</vt:lpstr>
      <vt:lpstr>'Raw Import'!ExternalData_96</vt:lpstr>
      <vt:lpstr>'Raw Import'!ExternalData_97</vt:lpstr>
      <vt:lpstr>'Raw Import'!ExternalData_98</vt:lpstr>
      <vt:lpstr>'Raw Import'!ExternalData_99</vt:lpstr>
      <vt:lpstr>'Final BoQ'!Print_Area</vt:lpstr>
      <vt:lpstr>'Find Value'!Print_Area</vt:lpstr>
      <vt:lpstr>'SHEET 10'!Print_Area</vt:lpstr>
      <vt:lpstr>'SHEET 9'!Print_Area</vt:lpstr>
      <vt:lpstr>'User Interface'!Print_Area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Louw Jacobs</cp:lastModifiedBy>
  <cp:lastPrinted>2026-03-12T14:26:22Z</cp:lastPrinted>
  <dcterms:created xsi:type="dcterms:W3CDTF">2026-03-02T08:49:59Z</dcterms:created>
  <dcterms:modified xsi:type="dcterms:W3CDTF">2026-08-22T18:19:51Z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0x0101008482D86F21B02E4F80AFF2A731E5838F</vt:lpwstr>
  </property>
</Properties>
</file>